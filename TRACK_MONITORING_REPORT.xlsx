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1305" windowWidth="26640" windowHeight="1437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MP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mm\-dd\-yy"/>
    <numFmt numFmtId="166" formatCode="0.00000"/>
  </numFmts>
  <fonts count="19">
    <font>
      <name val="Aptos Narrow"/>
      <family val="2"/>
      <color theme="1"/>
      <sz val="11"/>
      <scheme val="minor"/>
    </font>
    <font>
      <name val="GreekC"/>
      <color theme="1"/>
      <sz val="11"/>
    </font>
    <font>
      <name val="Times New Roman"/>
      <family val="1"/>
      <b val="1"/>
      <sz val="14"/>
    </font>
    <font>
      <name val="Arial"/>
      <family val="2"/>
      <i val="1"/>
      <sz val="10"/>
    </font>
    <font>
      <name val="TimesNewRomanPS"/>
      <sz val="10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TimesNewRomanPS"/>
      <i val="1"/>
      <sz val="10"/>
    </font>
    <font>
      <name val="Times New Roman"/>
      <family val="1"/>
      <b val="1"/>
      <sz val="10"/>
    </font>
    <font>
      <name val="TimesNewRomanPS"/>
      <i val="1"/>
      <sz val="8"/>
    </font>
    <font>
      <name val="Arial"/>
      <family val="2"/>
      <b val="1"/>
      <i val="1"/>
      <sz val="10"/>
    </font>
    <font>
      <name val="Aptos Narrow"/>
      <family val="2"/>
      <color theme="1"/>
      <sz val="20"/>
      <scheme val="minor"/>
    </font>
    <font>
      <b val="1"/>
      <sz val="14"/>
    </font>
    <font>
      <b val="1"/>
    </font>
    <font>
      <b val="1"/>
      <sz val="12"/>
    </font>
    <font>
      <b val="1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4" fillId="0" borderId="2" applyAlignment="1" pivotButton="0" quotePrefix="0" xfId="0">
      <alignment horizontal="right"/>
    </xf>
    <xf numFmtId="0" fontId="6" fillId="0" borderId="2" pivotButton="0" quotePrefix="0" xfId="0"/>
    <xf numFmtId="0" fontId="6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7" pivotButton="0" quotePrefix="0" xfId="0"/>
    <xf numFmtId="0" fontId="6" fillId="0" borderId="8" applyAlignment="1" pivotButton="0" quotePrefix="0" xfId="0">
      <alignment horizontal="right"/>
    </xf>
    <xf numFmtId="0" fontId="6" fillId="0" borderId="8" applyAlignment="1" pivotButton="0" quotePrefix="0" xfId="0">
      <alignment horizontal="left"/>
    </xf>
    <xf numFmtId="0" fontId="0" fillId="0" borderId="5" pivotButton="0" quotePrefix="0" xfId="0"/>
    <xf numFmtId="0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Continuous"/>
    </xf>
    <xf numFmtId="0" fontId="4" fillId="0" borderId="0" applyAlignment="1" pivotButton="0" quotePrefix="0" xfId="0">
      <alignment horizontal="centerContinuous"/>
    </xf>
    <xf numFmtId="0" fontId="0" fillId="0" borderId="1" pivotButton="0" quotePrefix="0" xfId="0"/>
    <xf numFmtId="0" fontId="5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8" fillId="0" borderId="0" pivotButton="0" quotePrefix="0" xfId="0"/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0" fillId="0" borderId="0" applyAlignment="1" pivotButton="0" quotePrefix="0" xfId="0">
      <alignment horizontal="centerContinuous"/>
    </xf>
    <xf numFmtId="0" fontId="5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0" fontId="11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applyAlignment="1" pivotButton="0" quotePrefix="0" xfId="0">
      <alignment horizontal="center"/>
    </xf>
    <xf numFmtId="0" fontId="0" fillId="0" borderId="12" pivotButton="0" quotePrefix="0" xfId="0"/>
    <xf numFmtId="164" fontId="0" fillId="0" borderId="12" pivotButton="0" quotePrefix="0" xfId="0"/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165" fontId="8" fillId="0" borderId="8" applyAlignment="1" pivotButton="0" quotePrefix="0" xfId="0">
      <alignment horizontal="center"/>
    </xf>
    <xf numFmtId="0" fontId="6" fillId="0" borderId="6" applyAlignment="1" pivotButton="0" quotePrefix="0" xfId="0">
      <alignment horizontal="left"/>
    </xf>
    <xf numFmtId="0" fontId="6" fillId="0" borderId="8" applyAlignment="1" pivotButton="0" quotePrefix="0" xfId="0">
      <alignment horizontal="left"/>
    </xf>
    <xf numFmtId="0" fontId="12" fillId="2" borderId="8" applyAlignment="1" pivotButton="0" quotePrefix="0" xfId="0">
      <alignment horizontal="right"/>
    </xf>
    <xf numFmtId="0" fontId="0" fillId="0" borderId="3" pivotButton="0" quotePrefix="0" xfId="0"/>
    <xf numFmtId="0" fontId="0" fillId="0" borderId="8" pivotButton="0" quotePrefix="0" xfId="0"/>
    <xf numFmtId="0" fontId="0" fillId="0" borderId="6" pivotButton="0" quotePrefix="0" xfId="0"/>
    <xf numFmtId="0" fontId="14" fillId="0" borderId="0" pivotButton="0" quotePrefix="0" xfId="0"/>
    <xf numFmtId="0" fontId="15" fillId="0" borderId="14" applyAlignment="1" pivotButton="0" quotePrefix="0" xfId="0">
      <alignment horizontal="center"/>
    </xf>
    <xf numFmtId="0" fontId="0" fillId="0" borderId="14" pivotButton="0" quotePrefix="0" xfId="0"/>
    <xf numFmtId="166" fontId="0" fillId="0" borderId="12" pivotButton="0" quotePrefix="0" xfId="0"/>
    <xf numFmtId="166" fontId="0" fillId="0" borderId="14" pivotButton="0" quotePrefix="0" xfId="0"/>
    <xf numFmtId="2" fontId="0" fillId="0" borderId="12" pivotButton="0" quotePrefix="0" xfId="0"/>
    <xf numFmtId="2" fontId="0" fillId="0" borderId="14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1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tabSelected="1" zoomScale="130" zoomScaleNormal="130" workbookViewId="0">
      <selection activeCell="A1" sqref="A1"/>
    </sheetView>
  </sheetViews>
  <sheetFormatPr baseColWidth="8" defaultRowHeight="15"/>
  <cols>
    <col width="3.28515625" customWidth="1" min="1" max="1"/>
    <col width="8.7109375" customWidth="1" min="2" max="10"/>
    <col width="3.28515625" customWidth="1" min="11" max="11"/>
  </cols>
  <sheetData>
    <row r="1" ht="18.75" customHeight="1">
      <c r="A1" s="16" t="n"/>
      <c r="B1" s="1" t="inlineStr">
        <is>
          <t>LANDMARK SURVEYS L.L.C.</t>
        </is>
      </c>
      <c r="C1" s="1" t="n"/>
      <c r="D1" s="2" t="n"/>
      <c r="E1" s="3" t="n"/>
      <c r="F1" s="4" t="n"/>
      <c r="G1" s="5" t="n"/>
      <c r="H1" s="6" t="inlineStr">
        <is>
          <t xml:space="preserve">LS File: </t>
        </is>
      </c>
      <c r="I1" s="36" t="n">
        <v>25146</v>
      </c>
      <c r="J1" s="41" t="n"/>
      <c r="K1" s="7" t="n"/>
    </row>
    <row r="2">
      <c r="A2" s="11" t="n"/>
      <c r="B2" s="17" t="inlineStr">
        <is>
          <t>51 BRIDGE STREET</t>
        </is>
      </c>
      <c r="C2" s="17" t="n"/>
      <c r="D2" s="14" t="n"/>
      <c r="E2" s="14" t="n"/>
      <c r="F2" s="18" t="n"/>
      <c r="G2" s="19" t="n"/>
      <c r="H2" s="20" t="inlineStr">
        <is>
          <t xml:space="preserve">Date of Field Observation: </t>
        </is>
      </c>
      <c r="I2" s="37" t="n"/>
      <c r="J2" s="42" t="n"/>
      <c r="K2" s="8" t="n"/>
    </row>
    <row r="3">
      <c r="A3" s="11" t="n"/>
      <c r="B3" s="17" t="inlineStr">
        <is>
          <t>METUCHEN, NEW JERSEY  08840</t>
        </is>
      </c>
      <c r="C3" s="17" t="n"/>
      <c r="D3" s="15" t="n"/>
      <c r="E3" s="15" t="n"/>
      <c r="G3" s="21" t="n"/>
      <c r="H3" s="20" t="inlineStr">
        <is>
          <t xml:space="preserve">Time of Field Observation: </t>
        </is>
      </c>
      <c r="I3" s="37" t="n"/>
      <c r="J3" s="42" t="n"/>
      <c r="K3" s="8" t="n"/>
    </row>
    <row r="4">
      <c r="A4" s="11" t="n"/>
      <c r="B4" s="17" t="inlineStr">
        <is>
          <t>TEL#  (732) 548-8782</t>
        </is>
      </c>
      <c r="C4" s="17" t="n"/>
      <c r="D4" s="15" t="n"/>
      <c r="E4" s="22" t="n"/>
      <c r="G4" s="12" t="n"/>
      <c r="H4" s="20" t="inlineStr">
        <is>
          <t xml:space="preserve">Sheet: </t>
        </is>
      </c>
      <c r="I4" s="9" t="n">
        <v>1</v>
      </c>
      <c r="J4" s="39" t="inlineStr">
        <is>
          <t>of 4</t>
        </is>
      </c>
      <c r="K4" s="8" t="n"/>
    </row>
    <row r="5">
      <c r="A5" s="11" t="n"/>
      <c r="C5" s="23" t="n"/>
      <c r="F5" s="24" t="n"/>
      <c r="G5" s="25" t="n"/>
      <c r="H5" s="26" t="inlineStr">
        <is>
          <t>Cert. of Auth. #24GA2872300</t>
        </is>
      </c>
      <c r="I5" s="27" t="n"/>
      <c r="K5" s="8" t="n"/>
    </row>
    <row r="6">
      <c r="A6" s="11" t="n"/>
      <c r="C6" s="23" t="n"/>
      <c r="F6" s="24" t="n"/>
      <c r="G6" s="25" t="n"/>
      <c r="H6" s="26" t="n"/>
      <c r="I6" s="27" t="n"/>
      <c r="K6" s="8" t="n"/>
    </row>
    <row r="7">
      <c r="A7" s="11" t="n"/>
      <c r="B7" s="12" t="n"/>
      <c r="C7" s="12" t="inlineStr">
        <is>
          <t>PROJECT:</t>
        </is>
      </c>
      <c r="D7" s="38" t="inlineStr">
        <is>
          <t>STAFFORD ROAD SANITARY SEWER PHASE I</t>
        </is>
      </c>
      <c r="E7" s="43" t="n"/>
      <c r="F7" s="43" t="n"/>
      <c r="G7" s="43" t="n"/>
      <c r="H7" s="43" t="n"/>
      <c r="I7" s="43" t="n"/>
      <c r="J7" s="43" t="n"/>
      <c r="K7" s="8" t="n"/>
    </row>
    <row r="8">
      <c r="A8" s="11" t="n"/>
      <c r="B8" s="12" t="n"/>
      <c r="C8" s="12" t="inlineStr">
        <is>
          <t>CONTRACTOR:</t>
        </is>
      </c>
      <c r="D8" s="39" t="inlineStr">
        <is>
          <t>MONTANA CONSTRUCTION</t>
        </is>
      </c>
      <c r="E8" s="42" t="n"/>
      <c r="F8" s="42" t="n"/>
      <c r="G8" s="42" t="n"/>
      <c r="H8" s="42" t="n"/>
      <c r="I8" s="40" t="inlineStr">
        <is>
          <t>REV 0</t>
        </is>
      </c>
      <c r="J8" s="42" t="n"/>
      <c r="K8" s="8" t="n"/>
    </row>
    <row r="9">
      <c r="A9" s="11" t="n"/>
      <c r="B9" s="12" t="n"/>
      <c r="C9" s="13" t="n"/>
      <c r="D9" s="13" t="n"/>
      <c r="E9" s="13" t="n"/>
      <c r="F9" s="13" t="n"/>
      <c r="G9" s="13" t="n"/>
      <c r="H9" s="13" t="n"/>
      <c r="I9" s="13" t="n"/>
      <c r="J9" s="13" t="n"/>
      <c r="K9" s="8" t="n"/>
    </row>
    <row r="10">
      <c r="A10" s="11" t="n"/>
      <c r="B10" s="12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8" t="n"/>
    </row>
    <row r="11">
      <c r="A11" s="11" t="n"/>
      <c r="B11" s="12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8" t="n"/>
    </row>
    <row r="12" ht="26.25" customHeight="1">
      <c r="A12" s="11" t="n"/>
      <c r="B12" s="34" t="inlineStr">
        <is>
          <t>TRACK 1</t>
        </is>
      </c>
      <c r="K12" s="8" t="n"/>
    </row>
    <row r="13">
      <c r="A13" s="11" t="n"/>
      <c r="B13" s="35" t="inlineStr">
        <is>
          <t>RIGHT RAIL</t>
        </is>
      </c>
      <c r="F13" s="35" t="inlineStr">
        <is>
          <t>LEFT RAIL</t>
        </is>
      </c>
      <c r="J13" t="inlineStr">
        <is>
          <t>CROSS</t>
        </is>
      </c>
      <c r="K13" s="8" t="n"/>
    </row>
    <row r="14" ht="18" customHeight="1">
      <c r="A14" s="11" t="n"/>
      <c r="B14" s="31" t="inlineStr">
        <is>
          <t>TMP</t>
        </is>
      </c>
      <c r="C14" s="31" t="inlineStr">
        <is>
          <t>DN</t>
        </is>
      </c>
      <c r="D14" s="31" t="inlineStr">
        <is>
          <t>DE</t>
        </is>
      </c>
      <c r="E14" s="31" t="inlineStr">
        <is>
          <t>DELV</t>
        </is>
      </c>
      <c r="F14" s="31" t="inlineStr">
        <is>
          <t>TMP</t>
        </is>
      </c>
      <c r="G14" s="31" t="inlineStr">
        <is>
          <t>DN</t>
        </is>
      </c>
      <c r="H14" s="31" t="inlineStr">
        <is>
          <t>DE</t>
        </is>
      </c>
      <c r="I14" s="31" t="inlineStr">
        <is>
          <t>DELV</t>
        </is>
      </c>
      <c r="J14" s="31" t="inlineStr">
        <is>
          <t>LEVEL</t>
        </is>
      </c>
      <c r="K14" s="8" t="n"/>
    </row>
    <row r="15">
      <c r="A15" s="11" t="n"/>
      <c r="B15" s="32" t="n">
        <v>100</v>
      </c>
      <c r="C15" s="49" t="n"/>
      <c r="D15" s="49" t="n"/>
      <c r="E15" s="49" t="n"/>
      <c r="F15" s="32">
        <f>B15+1</f>
        <v/>
      </c>
      <c r="G15" s="49" t="n"/>
      <c r="H15" s="49" t="n"/>
      <c r="I15" s="49" t="n"/>
      <c r="J15" s="49">
        <f>IF(OR(NOT(ISNUMBER(E15)),NOT(ISNUMBER(I15))),"NULL",E15-I15)</f>
        <v/>
      </c>
      <c r="K15" s="8" t="n"/>
    </row>
    <row r="16">
      <c r="A16" s="11" t="n"/>
      <c r="B16" s="32">
        <f>B15+2</f>
        <v/>
      </c>
      <c r="C16" s="49" t="n"/>
      <c r="D16" s="49" t="n"/>
      <c r="E16" s="49" t="n"/>
      <c r="F16" s="32">
        <f>F15+2</f>
        <v/>
      </c>
      <c r="G16" s="49" t="n"/>
      <c r="H16" s="49" t="n"/>
      <c r="I16" s="49" t="n"/>
      <c r="J16" s="49">
        <f>IF(OR(NOT(ISNUMBER(E16)),NOT(ISNUMBER(I16))),"NULL",E16-I16)</f>
        <v/>
      </c>
      <c r="K16" s="8" t="n"/>
    </row>
    <row r="17">
      <c r="A17" s="11" t="n"/>
      <c r="B17" s="32">
        <f>B16+2</f>
        <v/>
      </c>
      <c r="C17" s="49" t="n"/>
      <c r="D17" s="49" t="n"/>
      <c r="E17" s="49" t="n"/>
      <c r="F17" s="32">
        <f>F16+2</f>
        <v/>
      </c>
      <c r="G17" s="49" t="n"/>
      <c r="H17" s="49" t="n"/>
      <c r="I17" s="49" t="n"/>
      <c r="J17" s="49">
        <f>IF(OR(NOT(ISNUMBER(E17)),NOT(ISNUMBER(I17))),"NULL",E17-I17)</f>
        <v/>
      </c>
      <c r="K17" s="8" t="n"/>
    </row>
    <row r="18">
      <c r="A18" s="11" t="n"/>
      <c r="B18" s="32">
        <f>B17+2</f>
        <v/>
      </c>
      <c r="C18" s="49" t="n"/>
      <c r="D18" s="49" t="n"/>
      <c r="E18" s="49" t="n"/>
      <c r="F18" s="32">
        <f>F17+2</f>
        <v/>
      </c>
      <c r="G18" s="49" t="n"/>
      <c r="H18" s="49" t="n"/>
      <c r="I18" s="49" t="n"/>
      <c r="J18" s="49">
        <f>IF(OR(NOT(ISNUMBER(E18)),NOT(ISNUMBER(I18))),"NULL",E18-I18)</f>
        <v/>
      </c>
      <c r="K18" s="8" t="n"/>
    </row>
    <row r="19">
      <c r="A19" s="11" t="n"/>
      <c r="B19" s="32">
        <f>B18+2</f>
        <v/>
      </c>
      <c r="C19" s="49" t="n"/>
      <c r="D19" s="49" t="n"/>
      <c r="E19" s="49" t="n"/>
      <c r="F19" s="32">
        <f>F18+2</f>
        <v/>
      </c>
      <c r="G19" s="49" t="n"/>
      <c r="H19" s="49" t="n"/>
      <c r="I19" s="49" t="n"/>
      <c r="J19" s="49">
        <f>IF(OR(NOT(ISNUMBER(E19)),NOT(ISNUMBER(I19))),"NULL",E19-I19)</f>
        <v/>
      </c>
      <c r="K19" s="8" t="n"/>
    </row>
    <row r="20">
      <c r="A20" s="11" t="n"/>
      <c r="B20" s="32">
        <f>B19+2</f>
        <v/>
      </c>
      <c r="C20" s="49" t="n"/>
      <c r="D20" s="49" t="n"/>
      <c r="E20" s="49" t="n"/>
      <c r="F20" s="32">
        <f>F19+2</f>
        <v/>
      </c>
      <c r="G20" s="49" t="n"/>
      <c r="H20" s="49" t="n"/>
      <c r="I20" s="49" t="n"/>
      <c r="J20" s="49">
        <f>IF(OR(NOT(ISNUMBER(E20)),NOT(ISNUMBER(I20))),"NULL",E20-I20)</f>
        <v/>
      </c>
      <c r="K20" s="8" t="n"/>
    </row>
    <row r="21">
      <c r="A21" s="11" t="n"/>
      <c r="B21" s="32">
        <f>B20+2</f>
        <v/>
      </c>
      <c r="C21" s="49" t="n"/>
      <c r="D21" s="49" t="n"/>
      <c r="E21" s="49" t="n"/>
      <c r="F21" s="32">
        <f>F20+2</f>
        <v/>
      </c>
      <c r="G21" s="49" t="n"/>
      <c r="H21" s="49" t="n"/>
      <c r="I21" s="49" t="n"/>
      <c r="J21" s="49">
        <f>IF(OR(NOT(ISNUMBER(E21)),NOT(ISNUMBER(I21))),"NULL",E21-I21)</f>
        <v/>
      </c>
      <c r="K21" s="8" t="n"/>
    </row>
    <row r="22">
      <c r="A22" s="11" t="n"/>
      <c r="B22" s="32">
        <f>B21+2</f>
        <v/>
      </c>
      <c r="C22" s="49" t="n"/>
      <c r="D22" s="49" t="n"/>
      <c r="E22" s="49" t="n"/>
      <c r="F22" s="32">
        <f>F21+2</f>
        <v/>
      </c>
      <c r="G22" s="49" t="n"/>
      <c r="H22" s="49" t="n"/>
      <c r="I22" s="49" t="n"/>
      <c r="J22" s="49">
        <f>IF(OR(NOT(ISNUMBER(E22)),NOT(ISNUMBER(I22))),"NULL",E22-I22)</f>
        <v/>
      </c>
      <c r="K22" s="8" t="n"/>
    </row>
    <row r="23">
      <c r="A23" s="11" t="n"/>
      <c r="B23" s="32">
        <f>B22+2</f>
        <v/>
      </c>
      <c r="C23" s="49" t="n"/>
      <c r="D23" s="49" t="n"/>
      <c r="E23" s="49" t="n"/>
      <c r="F23" s="32">
        <f>F22+2</f>
        <v/>
      </c>
      <c r="G23" s="49" t="n"/>
      <c r="H23" s="49" t="n"/>
      <c r="I23" s="49" t="n"/>
      <c r="J23" s="49">
        <f>IF(OR(NOT(ISNUMBER(E23)),NOT(ISNUMBER(I23))),"NULL",E23-I23)</f>
        <v/>
      </c>
      <c r="K23" s="8" t="n"/>
    </row>
    <row r="24">
      <c r="A24" s="11" t="n"/>
      <c r="B24" s="32">
        <f>B23+2</f>
        <v/>
      </c>
      <c r="C24" s="49" t="n"/>
      <c r="D24" s="49" t="n"/>
      <c r="E24" s="49" t="n"/>
      <c r="F24" s="32">
        <f>F23+2</f>
        <v/>
      </c>
      <c r="G24" s="49" t="n"/>
      <c r="H24" s="49" t="n"/>
      <c r="I24" s="49" t="n"/>
      <c r="J24" s="49">
        <f>IF(OR(NOT(ISNUMBER(E24)),NOT(ISNUMBER(I24))),"NULL",E24-I24)</f>
        <v/>
      </c>
      <c r="K24" s="8" t="n"/>
    </row>
    <row r="25">
      <c r="A25" s="11" t="n"/>
      <c r="B25" s="32">
        <f>B24+2</f>
        <v/>
      </c>
      <c r="C25" s="49" t="n"/>
      <c r="D25" s="49" t="n"/>
      <c r="E25" s="49" t="n"/>
      <c r="F25" s="32">
        <f>F24+2</f>
        <v/>
      </c>
      <c r="G25" s="49" t="n"/>
      <c r="H25" s="49" t="n"/>
      <c r="I25" s="49" t="n"/>
      <c r="J25" s="49">
        <f>IF(OR(NOT(ISNUMBER(E25)),NOT(ISNUMBER(I25))),"NULL",E25-I25)</f>
        <v/>
      </c>
      <c r="K25" s="8" t="n"/>
    </row>
    <row r="26">
      <c r="A26" s="11" t="n"/>
      <c r="B26" s="32">
        <f>B25+2</f>
        <v/>
      </c>
      <c r="C26" s="49" t="n"/>
      <c r="D26" s="49" t="n"/>
      <c r="E26" s="49" t="n"/>
      <c r="F26" s="32">
        <f>F25+2</f>
        <v/>
      </c>
      <c r="G26" s="49" t="n"/>
      <c r="H26" s="49" t="n"/>
      <c r="I26" s="49" t="n"/>
      <c r="J26" s="49">
        <f>IF(OR(NOT(ISNUMBER(E26)),NOT(ISNUMBER(I26))),"NULL",E26-I26)</f>
        <v/>
      </c>
      <c r="K26" s="8" t="n"/>
    </row>
    <row r="27">
      <c r="A27" s="11" t="n"/>
      <c r="B27" s="32">
        <f>B26+2</f>
        <v/>
      </c>
      <c r="C27" s="49" t="n"/>
      <c r="D27" s="49" t="n"/>
      <c r="E27" s="49" t="n"/>
      <c r="F27" s="32">
        <f>F26+2</f>
        <v/>
      </c>
      <c r="G27" s="49" t="n"/>
      <c r="H27" s="49" t="n"/>
      <c r="I27" s="49" t="n"/>
      <c r="J27" s="49">
        <f>IF(OR(NOT(ISNUMBER(E27)),NOT(ISNUMBER(I27))),"NULL",E27-I27)</f>
        <v/>
      </c>
      <c r="K27" s="8" t="n"/>
    </row>
    <row r="28">
      <c r="A28" s="11" t="n"/>
      <c r="B28" s="32">
        <f>B27+2</f>
        <v/>
      </c>
      <c r="C28" s="49" t="n"/>
      <c r="D28" s="49" t="n"/>
      <c r="E28" s="49" t="n"/>
      <c r="F28" s="32">
        <f>F27+2</f>
        <v/>
      </c>
      <c r="G28" s="49" t="n"/>
      <c r="H28" s="49" t="n"/>
      <c r="I28" s="49" t="n"/>
      <c r="J28" s="49">
        <f>IF(OR(NOT(ISNUMBER(E28)),NOT(ISNUMBER(I28))),"NULL",E28-I28)</f>
        <v/>
      </c>
      <c r="K28" s="8" t="n"/>
    </row>
    <row r="29">
      <c r="A29" s="11" t="n"/>
      <c r="B29" s="32">
        <f>B28+2</f>
        <v/>
      </c>
      <c r="C29" s="49" t="n"/>
      <c r="D29" s="49" t="n"/>
      <c r="E29" s="49" t="n"/>
      <c r="F29" s="32">
        <f>F28+2</f>
        <v/>
      </c>
      <c r="G29" s="49" t="n"/>
      <c r="H29" s="49" t="n"/>
      <c r="I29" s="49" t="n"/>
      <c r="J29" s="49">
        <f>IF(OR(NOT(ISNUMBER(E29)),NOT(ISNUMBER(I29))),"NULL",E29-I29)</f>
        <v/>
      </c>
      <c r="K29" s="8" t="n"/>
    </row>
    <row r="30">
      <c r="A30" s="11" t="n"/>
      <c r="B30" s="32">
        <f>B29+2</f>
        <v/>
      </c>
      <c r="C30" s="49" t="n"/>
      <c r="D30" s="49" t="n"/>
      <c r="E30" s="49" t="n"/>
      <c r="F30" s="32">
        <f>F29+2</f>
        <v/>
      </c>
      <c r="G30" s="49" t="n"/>
      <c r="H30" s="49" t="n"/>
      <c r="I30" s="49" t="n"/>
      <c r="J30" s="49">
        <f>IF(OR(NOT(ISNUMBER(E30)),NOT(ISNUMBER(I30))),"NULL",E30-I30)</f>
        <v/>
      </c>
      <c r="K30" s="8" t="n"/>
    </row>
    <row r="31">
      <c r="A31" s="11" t="n"/>
      <c r="B31" s="32">
        <f>B30+2</f>
        <v/>
      </c>
      <c r="C31" s="49" t="n"/>
      <c r="D31" s="49" t="n"/>
      <c r="E31" s="49" t="n"/>
      <c r="F31" s="32">
        <f>F30+2</f>
        <v/>
      </c>
      <c r="G31" s="49" t="n"/>
      <c r="H31" s="49" t="n"/>
      <c r="I31" s="49" t="n"/>
      <c r="J31" s="49">
        <f>IF(OR(NOT(ISNUMBER(E31)),NOT(ISNUMBER(I31))),"NULL",E31-I31)</f>
        <v/>
      </c>
      <c r="K31" s="8" t="n"/>
    </row>
    <row r="32">
      <c r="A32" s="11" t="n"/>
      <c r="B32" s="32">
        <f>B31+2</f>
        <v/>
      </c>
      <c r="C32" s="49" t="n"/>
      <c r="D32" s="49" t="n"/>
      <c r="E32" s="49" t="n"/>
      <c r="F32" s="32">
        <f>F31+2</f>
        <v/>
      </c>
      <c r="G32" s="49" t="n"/>
      <c r="H32" s="49" t="n"/>
      <c r="I32" s="49" t="n"/>
      <c r="J32" s="49">
        <f>IF(OR(NOT(ISNUMBER(E32)),NOT(ISNUMBER(I32))),"NULL",E32-I32)</f>
        <v/>
      </c>
      <c r="K32" s="8" t="n"/>
    </row>
    <row r="33">
      <c r="A33" s="11" t="n"/>
      <c r="B33" s="32">
        <f>B32+2</f>
        <v/>
      </c>
      <c r="C33" s="49" t="n"/>
      <c r="D33" s="49" t="n"/>
      <c r="E33" s="49" t="n"/>
      <c r="F33" s="32">
        <f>F32+2</f>
        <v/>
      </c>
      <c r="G33" s="49" t="n"/>
      <c r="H33" s="49" t="n"/>
      <c r="I33" s="49" t="n"/>
      <c r="J33" s="49">
        <f>IF(OR(NOT(ISNUMBER(E33)),NOT(ISNUMBER(I33))),"NULL",E33-I33)</f>
        <v/>
      </c>
      <c r="K33" s="8" t="n"/>
    </row>
    <row r="34">
      <c r="A34" s="11" t="n"/>
      <c r="K34" s="8" t="n"/>
    </row>
    <row r="35">
      <c r="A35" s="11" t="n"/>
      <c r="K35" s="8" t="n"/>
    </row>
    <row r="36">
      <c r="A36" s="11" t="n"/>
      <c r="K36" s="8" t="n"/>
    </row>
    <row r="37">
      <c r="A37" s="11" t="n"/>
      <c r="K37" s="8" t="n"/>
    </row>
    <row r="38">
      <c r="A38" s="11" t="n"/>
      <c r="K38" s="8" t="n"/>
    </row>
    <row r="39">
      <c r="A39" s="11" t="n"/>
      <c r="K39" s="8" t="n"/>
    </row>
    <row r="40">
      <c r="A40" s="11" t="n"/>
      <c r="K40" s="8" t="n"/>
    </row>
    <row r="41">
      <c r="A41" s="11" t="n"/>
      <c r="K41" s="8" t="n"/>
    </row>
    <row r="42">
      <c r="A42" s="11" t="n"/>
      <c r="K42" s="8" t="n"/>
    </row>
    <row r="43" ht="15.75" customHeight="1" thickBot="1">
      <c r="A43" s="28" t="n"/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  <c r="K43" s="30" t="n"/>
    </row>
    <row r="44" ht="18.75" customHeight="1">
      <c r="A44" s="16" t="n"/>
      <c r="B44" s="1" t="inlineStr">
        <is>
          <t>LANDMARK SURVEYS L.L.C.</t>
        </is>
      </c>
      <c r="C44" s="1" t="n"/>
      <c r="D44" s="2" t="n"/>
      <c r="E44" s="3" t="n"/>
      <c r="F44" s="4" t="n"/>
      <c r="G44" s="5" t="n"/>
      <c r="H44" s="6" t="inlineStr">
        <is>
          <t xml:space="preserve">LS File: </t>
        </is>
      </c>
      <c r="I44" s="36" t="n">
        <v>25146</v>
      </c>
      <c r="J44" s="41" t="n"/>
      <c r="K44" s="7" t="n"/>
    </row>
    <row r="45">
      <c r="A45" s="11" t="n"/>
      <c r="B45" s="17" t="inlineStr">
        <is>
          <t>51 BRIDGE STREET</t>
        </is>
      </c>
      <c r="C45" s="17" t="n"/>
      <c r="D45" s="14" t="n"/>
      <c r="E45" s="14" t="n"/>
      <c r="F45" s="18" t="n"/>
      <c r="G45" s="19" t="n"/>
      <c r="H45" s="20" t="inlineStr">
        <is>
          <t xml:space="preserve">Date of Field Observation: </t>
        </is>
      </c>
      <c r="I45" s="37" t="n"/>
      <c r="J45" s="42" t="n"/>
      <c r="K45" s="8" t="n"/>
    </row>
    <row r="46">
      <c r="A46" s="11" t="n"/>
      <c r="B46" s="17" t="inlineStr">
        <is>
          <t>METUCHEN, NEW JERSEY  08840</t>
        </is>
      </c>
      <c r="C46" s="17" t="n"/>
      <c r="D46" s="15" t="n"/>
      <c r="E46" s="15" t="n"/>
      <c r="G46" s="21" t="n"/>
      <c r="H46" s="20" t="inlineStr">
        <is>
          <t xml:space="preserve">Time of Field Observation: </t>
        </is>
      </c>
      <c r="I46" s="37" t="n"/>
      <c r="J46" s="42" t="n"/>
      <c r="K46" s="8" t="n"/>
    </row>
    <row r="47">
      <c r="A47" s="11" t="n"/>
      <c r="B47" s="17" t="inlineStr">
        <is>
          <t>TEL#  (732) 548-8782</t>
        </is>
      </c>
      <c r="C47" s="17" t="n"/>
      <c r="D47" s="15" t="n"/>
      <c r="E47" s="22" t="n"/>
      <c r="G47" s="12" t="n"/>
      <c r="H47" s="20" t="inlineStr">
        <is>
          <t xml:space="preserve">Sheet: </t>
        </is>
      </c>
      <c r="I47" s="9" t="n">
        <v>2</v>
      </c>
      <c r="J47" s="39" t="inlineStr">
        <is>
          <t>of 4</t>
        </is>
      </c>
      <c r="K47" s="8" t="n"/>
    </row>
    <row r="48">
      <c r="A48" s="11" t="n"/>
      <c r="C48" s="23" t="n"/>
      <c r="F48" s="24" t="n"/>
      <c r="G48" s="25" t="n"/>
      <c r="H48" s="26" t="inlineStr">
        <is>
          <t>Cert. of Auth. #24GA2872300</t>
        </is>
      </c>
      <c r="I48" s="27" t="n"/>
      <c r="K48" s="8" t="n"/>
    </row>
    <row r="49">
      <c r="A49" s="11" t="n"/>
      <c r="C49" s="23" t="n"/>
      <c r="F49" s="24" t="n"/>
      <c r="G49" s="25" t="n"/>
      <c r="H49" s="26" t="n"/>
      <c r="I49" s="27" t="n"/>
      <c r="K49" s="8" t="n"/>
    </row>
    <row r="50">
      <c r="A50" s="11" t="n"/>
      <c r="B50" s="12" t="n"/>
      <c r="C50" s="12" t="inlineStr">
        <is>
          <t>PROJECT:</t>
        </is>
      </c>
      <c r="D50" s="38" t="inlineStr">
        <is>
          <t>STAFFORD ROAD SANITARY SEWER PHASE I</t>
        </is>
      </c>
      <c r="E50" s="43" t="n"/>
      <c r="F50" s="43" t="n"/>
      <c r="G50" s="43" t="n"/>
      <c r="H50" s="43" t="n"/>
      <c r="I50" s="43" t="n"/>
      <c r="J50" s="43" t="n"/>
      <c r="K50" s="8" t="n"/>
    </row>
    <row r="51">
      <c r="A51" s="11" t="n"/>
      <c r="B51" s="12" t="n"/>
      <c r="C51" s="12" t="inlineStr">
        <is>
          <t>CONTRACTOR:</t>
        </is>
      </c>
      <c r="D51" s="39" t="inlineStr">
        <is>
          <t>MONTANA CONSTRUCTION</t>
        </is>
      </c>
      <c r="E51" s="42" t="n"/>
      <c r="F51" s="42" t="n"/>
      <c r="G51" s="42" t="n"/>
      <c r="H51" s="42" t="n"/>
      <c r="I51" s="40" t="inlineStr">
        <is>
          <t>REV 0</t>
        </is>
      </c>
      <c r="J51" s="42" t="n"/>
      <c r="K51" s="8" t="n"/>
    </row>
    <row r="52">
      <c r="A52" s="11" t="n"/>
      <c r="B52" s="12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8" t="n"/>
    </row>
    <row r="53">
      <c r="A53" s="11" t="n"/>
      <c r="B53" s="12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8" t="n"/>
    </row>
    <row r="54">
      <c r="A54" s="11" t="n"/>
      <c r="B54" s="12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8" t="n"/>
    </row>
    <row r="55" ht="26.25" customHeight="1">
      <c r="A55" s="11" t="n"/>
      <c r="B55" s="34" t="inlineStr">
        <is>
          <t>TRACK 2</t>
        </is>
      </c>
      <c r="K55" s="8" t="n"/>
    </row>
    <row r="56">
      <c r="A56" s="11" t="n"/>
      <c r="B56" s="35" t="inlineStr">
        <is>
          <t>RIGHT RAIL</t>
        </is>
      </c>
      <c r="F56" s="35" t="inlineStr">
        <is>
          <t>LEFT RAIL</t>
        </is>
      </c>
      <c r="J56" t="inlineStr">
        <is>
          <t>CROSS</t>
        </is>
      </c>
      <c r="K56" s="8" t="n"/>
    </row>
    <row r="57" ht="18" customHeight="1">
      <c r="A57" s="11" t="n"/>
      <c r="B57" s="31" t="inlineStr">
        <is>
          <t>TMP</t>
        </is>
      </c>
      <c r="C57" s="31" t="inlineStr">
        <is>
          <t>DN</t>
        </is>
      </c>
      <c r="D57" s="31" t="inlineStr">
        <is>
          <t>DE</t>
        </is>
      </c>
      <c r="E57" s="31" t="inlineStr">
        <is>
          <t>DELV</t>
        </is>
      </c>
      <c r="F57" s="31" t="inlineStr">
        <is>
          <t>TMP</t>
        </is>
      </c>
      <c r="G57" s="31" t="inlineStr">
        <is>
          <t>DN</t>
        </is>
      </c>
      <c r="H57" s="31" t="inlineStr">
        <is>
          <t>DE</t>
        </is>
      </c>
      <c r="I57" s="31" t="inlineStr">
        <is>
          <t>DELV</t>
        </is>
      </c>
      <c r="J57" s="31" t="inlineStr">
        <is>
          <t>LEVEL</t>
        </is>
      </c>
      <c r="K57" s="8" t="n"/>
    </row>
    <row r="58">
      <c r="A58" s="11" t="n"/>
      <c r="B58" s="32" t="n">
        <v>200</v>
      </c>
      <c r="C58" s="49" t="n"/>
      <c r="D58" s="49" t="n"/>
      <c r="E58" s="49" t="n"/>
      <c r="F58" s="32">
        <f>B58+1</f>
        <v/>
      </c>
      <c r="G58" s="49" t="n"/>
      <c r="H58" s="49" t="n"/>
      <c r="I58" s="49" t="n"/>
      <c r="J58" s="49">
        <f>IF(OR(NOT(ISNUMBER(E58)),NOT(ISNUMBER(I58))),"NULL",E58-I58)</f>
        <v/>
      </c>
      <c r="K58" s="8" t="n"/>
    </row>
    <row r="59">
      <c r="A59" s="11" t="n"/>
      <c r="B59" s="32">
        <f>B58+2</f>
        <v/>
      </c>
      <c r="C59" s="49" t="n"/>
      <c r="D59" s="49" t="n"/>
      <c r="E59" s="49" t="n"/>
      <c r="F59" s="32">
        <f>F58+2</f>
        <v/>
      </c>
      <c r="G59" s="49" t="n"/>
      <c r="H59" s="49" t="n"/>
      <c r="I59" s="49" t="n"/>
      <c r="J59" s="49">
        <f>IF(OR(NOT(ISNUMBER(E59)),NOT(ISNUMBER(I59))),"NULL",E59-I59)</f>
        <v/>
      </c>
      <c r="K59" s="8" t="n"/>
    </row>
    <row r="60">
      <c r="A60" s="11" t="n"/>
      <c r="B60" s="32">
        <f>B59+2</f>
        <v/>
      </c>
      <c r="C60" s="49" t="n"/>
      <c r="D60" s="49" t="n"/>
      <c r="E60" s="49" t="n"/>
      <c r="F60" s="32">
        <f>F59+2</f>
        <v/>
      </c>
      <c r="G60" s="49" t="n"/>
      <c r="H60" s="49" t="n"/>
      <c r="I60" s="49" t="n"/>
      <c r="J60" s="49">
        <f>IF(OR(NOT(ISNUMBER(E60)),NOT(ISNUMBER(I60))),"NULL",E60-I60)</f>
        <v/>
      </c>
      <c r="K60" s="8" t="n"/>
    </row>
    <row r="61">
      <c r="A61" s="11" t="n"/>
      <c r="B61" s="32">
        <f>B60+2</f>
        <v/>
      </c>
      <c r="C61" s="49" t="n"/>
      <c r="D61" s="49" t="n"/>
      <c r="E61" s="49" t="n"/>
      <c r="F61" s="32">
        <f>F60+2</f>
        <v/>
      </c>
      <c r="G61" s="49" t="n"/>
      <c r="H61" s="49" t="n"/>
      <c r="I61" s="49" t="n"/>
      <c r="J61" s="49">
        <f>IF(OR(NOT(ISNUMBER(E61)),NOT(ISNUMBER(I61))),"NULL",E61-I61)</f>
        <v/>
      </c>
      <c r="K61" s="8" t="n"/>
    </row>
    <row r="62">
      <c r="A62" s="11" t="n"/>
      <c r="B62" s="32">
        <f>B61+2</f>
        <v/>
      </c>
      <c r="C62" s="49" t="n"/>
      <c r="D62" s="49" t="n"/>
      <c r="E62" s="49" t="n"/>
      <c r="F62" s="32">
        <f>F61+2</f>
        <v/>
      </c>
      <c r="G62" s="49" t="n"/>
      <c r="H62" s="49" t="n"/>
      <c r="I62" s="49" t="n"/>
      <c r="J62" s="49">
        <f>IF(OR(NOT(ISNUMBER(E62)),NOT(ISNUMBER(I62))),"NULL",E62-I62)</f>
        <v/>
      </c>
      <c r="K62" s="8" t="n"/>
    </row>
    <row r="63">
      <c r="A63" s="11" t="n"/>
      <c r="B63" s="32">
        <f>B62+2</f>
        <v/>
      </c>
      <c r="C63" s="49" t="n"/>
      <c r="D63" s="49" t="n"/>
      <c r="E63" s="49" t="n"/>
      <c r="F63" s="32">
        <f>F62+2</f>
        <v/>
      </c>
      <c r="G63" s="49" t="n"/>
      <c r="H63" s="49" t="n"/>
      <c r="I63" s="49" t="n"/>
      <c r="J63" s="49">
        <f>IF(OR(NOT(ISNUMBER(E63)),NOT(ISNUMBER(I63))),"NULL",E63-I63)</f>
        <v/>
      </c>
      <c r="K63" s="8" t="n"/>
    </row>
    <row r="64">
      <c r="A64" s="11" t="n"/>
      <c r="B64" s="32">
        <f>B63+2</f>
        <v/>
      </c>
      <c r="C64" s="49" t="n"/>
      <c r="D64" s="49" t="n"/>
      <c r="E64" s="49" t="n"/>
      <c r="F64" s="32">
        <f>F63+2</f>
        <v/>
      </c>
      <c r="G64" s="49" t="n"/>
      <c r="H64" s="49" t="n"/>
      <c r="I64" s="49" t="n"/>
      <c r="J64" s="49">
        <f>IF(OR(NOT(ISNUMBER(E64)),NOT(ISNUMBER(I64))),"NULL",E64-I64)</f>
        <v/>
      </c>
      <c r="K64" s="8" t="n"/>
    </row>
    <row r="65">
      <c r="A65" s="11" t="n"/>
      <c r="B65" s="32">
        <f>B64+2</f>
        <v/>
      </c>
      <c r="C65" s="49" t="n"/>
      <c r="D65" s="49" t="n"/>
      <c r="E65" s="49" t="n"/>
      <c r="F65" s="32">
        <f>F64+2</f>
        <v/>
      </c>
      <c r="G65" s="49" t="n"/>
      <c r="H65" s="49" t="n"/>
      <c r="I65" s="49" t="n"/>
      <c r="J65" s="49">
        <f>IF(OR(NOT(ISNUMBER(E65)),NOT(ISNUMBER(I65))),"NULL",E65-I65)</f>
        <v/>
      </c>
      <c r="K65" s="8" t="n"/>
    </row>
    <row r="66">
      <c r="A66" s="11" t="n"/>
      <c r="B66" s="32">
        <f>B65+2</f>
        <v/>
      </c>
      <c r="C66" s="49" t="n"/>
      <c r="D66" s="49" t="n"/>
      <c r="E66" s="49" t="n"/>
      <c r="F66" s="32">
        <f>F65+2</f>
        <v/>
      </c>
      <c r="G66" s="49" t="n"/>
      <c r="H66" s="49" t="n"/>
      <c r="I66" s="49" t="n"/>
      <c r="J66" s="49">
        <f>IF(OR(NOT(ISNUMBER(E66)),NOT(ISNUMBER(I66))),"NULL",E66-I66)</f>
        <v/>
      </c>
      <c r="K66" s="8" t="n"/>
    </row>
    <row r="67">
      <c r="A67" s="11" t="n"/>
      <c r="B67" s="32">
        <f>B66+2</f>
        <v/>
      </c>
      <c r="C67" s="49" t="n"/>
      <c r="D67" s="49" t="n"/>
      <c r="E67" s="49" t="n"/>
      <c r="F67" s="32">
        <f>F66+2</f>
        <v/>
      </c>
      <c r="G67" s="49" t="n"/>
      <c r="H67" s="49" t="n"/>
      <c r="I67" s="49" t="n"/>
      <c r="J67" s="49">
        <f>IF(OR(NOT(ISNUMBER(E67)),NOT(ISNUMBER(I67))),"NULL",E67-I67)</f>
        <v/>
      </c>
      <c r="K67" s="8" t="n"/>
    </row>
    <row r="68">
      <c r="A68" s="11" t="n"/>
      <c r="B68" s="32">
        <f>B67+2</f>
        <v/>
      </c>
      <c r="C68" s="49" t="n"/>
      <c r="D68" s="49" t="n"/>
      <c r="E68" s="49" t="n"/>
      <c r="F68" s="32">
        <f>F67+2</f>
        <v/>
      </c>
      <c r="G68" s="49" t="n"/>
      <c r="H68" s="49" t="n"/>
      <c r="I68" s="49" t="n"/>
      <c r="J68" s="49">
        <f>IF(OR(NOT(ISNUMBER(E68)),NOT(ISNUMBER(I68))),"NULL",E68-I68)</f>
        <v/>
      </c>
      <c r="K68" s="8" t="n"/>
    </row>
    <row r="69">
      <c r="A69" s="11" t="n"/>
      <c r="B69" s="32">
        <f>B68+2</f>
        <v/>
      </c>
      <c r="C69" s="49" t="n"/>
      <c r="D69" s="49" t="n"/>
      <c r="E69" s="49" t="n"/>
      <c r="F69" s="32">
        <f>F68+2</f>
        <v/>
      </c>
      <c r="G69" s="49" t="n"/>
      <c r="H69" s="49" t="n"/>
      <c r="I69" s="49" t="n"/>
      <c r="J69" s="49">
        <f>IF(OR(NOT(ISNUMBER(E69)),NOT(ISNUMBER(I69))),"NULL",E69-I69)</f>
        <v/>
      </c>
      <c r="K69" s="8" t="n"/>
    </row>
    <row r="70">
      <c r="A70" s="11" t="n"/>
      <c r="B70" s="32">
        <f>B69+2</f>
        <v/>
      </c>
      <c r="C70" s="49" t="n"/>
      <c r="D70" s="49" t="n"/>
      <c r="E70" s="49" t="n"/>
      <c r="F70" s="32">
        <f>F69+2</f>
        <v/>
      </c>
      <c r="G70" s="49" t="n"/>
      <c r="H70" s="49" t="n"/>
      <c r="I70" s="49" t="n"/>
      <c r="J70" s="49">
        <f>IF(OR(NOT(ISNUMBER(E70)),NOT(ISNUMBER(I70))),"NULL",E70-I70)</f>
        <v/>
      </c>
      <c r="K70" s="8" t="n"/>
    </row>
    <row r="71">
      <c r="A71" s="11" t="n"/>
      <c r="B71" s="32">
        <f>B70+2</f>
        <v/>
      </c>
      <c r="C71" s="49" t="n"/>
      <c r="D71" s="49" t="n"/>
      <c r="E71" s="49" t="n"/>
      <c r="F71" s="32">
        <f>F70+2</f>
        <v/>
      </c>
      <c r="G71" s="49" t="n"/>
      <c r="H71" s="49" t="n"/>
      <c r="I71" s="49" t="n"/>
      <c r="J71" s="49">
        <f>IF(OR(NOT(ISNUMBER(E71)),NOT(ISNUMBER(I71))),"NULL",E71-I71)</f>
        <v/>
      </c>
      <c r="K71" s="8" t="n"/>
    </row>
    <row r="72">
      <c r="A72" s="11" t="n"/>
      <c r="B72" s="32">
        <f>B71+2</f>
        <v/>
      </c>
      <c r="C72" s="49" t="n"/>
      <c r="D72" s="49" t="n"/>
      <c r="E72" s="49" t="n"/>
      <c r="F72" s="32">
        <f>F71+2</f>
        <v/>
      </c>
      <c r="G72" s="49" t="n"/>
      <c r="H72" s="49" t="n"/>
      <c r="I72" s="49" t="n"/>
      <c r="J72" s="49">
        <f>IF(OR(NOT(ISNUMBER(E72)),NOT(ISNUMBER(I72))),"NULL",E72-I72)</f>
        <v/>
      </c>
      <c r="K72" s="8" t="n"/>
    </row>
    <row r="73">
      <c r="A73" s="11" t="n"/>
      <c r="B73" s="32">
        <f>B72+2</f>
        <v/>
      </c>
      <c r="C73" s="49" t="n"/>
      <c r="D73" s="49" t="n"/>
      <c r="E73" s="49" t="n"/>
      <c r="F73" s="32">
        <f>F72+2</f>
        <v/>
      </c>
      <c r="G73" s="49" t="n"/>
      <c r="H73" s="49" t="n"/>
      <c r="I73" s="49" t="n"/>
      <c r="J73" s="49">
        <f>IF(OR(NOT(ISNUMBER(E73)),NOT(ISNUMBER(I73))),"NULL",E73-I73)</f>
        <v/>
      </c>
      <c r="K73" s="8" t="n"/>
    </row>
    <row r="74">
      <c r="A74" s="11" t="n"/>
      <c r="B74" s="32">
        <f>B73+2</f>
        <v/>
      </c>
      <c r="C74" s="49" t="n"/>
      <c r="D74" s="49" t="n"/>
      <c r="E74" s="49" t="n"/>
      <c r="F74" s="32">
        <f>F73+2</f>
        <v/>
      </c>
      <c r="G74" s="49" t="n"/>
      <c r="H74" s="49" t="n"/>
      <c r="I74" s="49" t="n"/>
      <c r="J74" s="49">
        <f>IF(OR(NOT(ISNUMBER(E74)),NOT(ISNUMBER(I74))),"NULL",E74-I74)</f>
        <v/>
      </c>
      <c r="K74" s="8" t="n"/>
    </row>
    <row r="75">
      <c r="A75" s="11" t="n"/>
      <c r="B75" s="32">
        <f>B74+2</f>
        <v/>
      </c>
      <c r="C75" s="49" t="n"/>
      <c r="D75" s="49" t="n"/>
      <c r="E75" s="49" t="n"/>
      <c r="F75" s="32">
        <f>F74+2</f>
        <v/>
      </c>
      <c r="G75" s="49" t="n"/>
      <c r="H75" s="49" t="n"/>
      <c r="I75" s="49" t="n"/>
      <c r="J75" s="49">
        <f>IF(OR(NOT(ISNUMBER(E75)),NOT(ISNUMBER(I75))),"NULL",E75-I75)</f>
        <v/>
      </c>
      <c r="K75" s="8" t="n"/>
    </row>
    <row r="76">
      <c r="A76" s="11" t="n"/>
      <c r="B76" s="32">
        <f>B75+2</f>
        <v/>
      </c>
      <c r="C76" s="49" t="n"/>
      <c r="D76" s="49" t="n"/>
      <c r="E76" s="49" t="n"/>
      <c r="F76" s="32">
        <f>F75+2</f>
        <v/>
      </c>
      <c r="G76" s="49" t="n"/>
      <c r="H76" s="49" t="n"/>
      <c r="I76" s="49" t="n"/>
      <c r="J76" s="49">
        <f>IF(OR(NOT(ISNUMBER(E76)),NOT(ISNUMBER(I76))),"NULL",E76-I76)</f>
        <v/>
      </c>
      <c r="K76" s="8" t="n"/>
    </row>
    <row r="77">
      <c r="A77" s="11" t="n"/>
      <c r="K77" s="8" t="n"/>
    </row>
    <row r="78">
      <c r="A78" s="11" t="n"/>
      <c r="K78" s="8" t="n"/>
    </row>
    <row r="79">
      <c r="A79" s="11" t="n"/>
      <c r="K79" s="8" t="n"/>
    </row>
    <row r="80">
      <c r="A80" s="11" t="n"/>
      <c r="K80" s="8" t="n"/>
    </row>
    <row r="81">
      <c r="A81" s="11" t="n"/>
      <c r="K81" s="8" t="n"/>
    </row>
    <row r="82">
      <c r="A82" s="11" t="n"/>
      <c r="K82" s="8" t="n"/>
    </row>
    <row r="83">
      <c r="A83" s="11" t="n"/>
      <c r="K83" s="8" t="n"/>
    </row>
    <row r="84">
      <c r="A84" s="11" t="n"/>
      <c r="K84" s="8" t="n"/>
    </row>
    <row r="85">
      <c r="A85" s="11" t="n"/>
      <c r="K85" s="8" t="n"/>
    </row>
    <row r="86" ht="15.75" customHeight="1" thickBot="1">
      <c r="A86" s="28" t="n"/>
      <c r="B86" s="29" t="n"/>
      <c r="C86" s="29" t="n"/>
      <c r="D86" s="29" t="n"/>
      <c r="E86" s="29" t="n"/>
      <c r="F86" s="29" t="n"/>
      <c r="G86" s="29" t="n"/>
      <c r="H86" s="29" t="n"/>
      <c r="I86" s="29" t="n"/>
      <c r="J86" s="29" t="n"/>
      <c r="K86" s="30" t="n"/>
    </row>
    <row r="87" ht="18.75" customHeight="1">
      <c r="A87" s="16" t="n"/>
      <c r="B87" s="1" t="inlineStr">
        <is>
          <t>LANDMARK SURVEYS L.L.C.</t>
        </is>
      </c>
      <c r="C87" s="1" t="n"/>
      <c r="D87" s="2" t="n"/>
      <c r="E87" s="3" t="n"/>
      <c r="F87" s="4" t="n"/>
      <c r="G87" s="5" t="n"/>
      <c r="H87" s="6" t="inlineStr">
        <is>
          <t xml:space="preserve">LS File: </t>
        </is>
      </c>
      <c r="I87" s="36" t="n">
        <v>25146</v>
      </c>
      <c r="J87" s="41" t="n"/>
      <c r="K87" s="7" t="n"/>
    </row>
    <row r="88">
      <c r="A88" s="11" t="n"/>
      <c r="B88" s="17" t="inlineStr">
        <is>
          <t>51 BRIDGE STREET</t>
        </is>
      </c>
      <c r="C88" s="17" t="n"/>
      <c r="D88" s="14" t="n"/>
      <c r="E88" s="14" t="n"/>
      <c r="F88" s="18" t="n"/>
      <c r="G88" s="19" t="n"/>
      <c r="H88" s="20" t="inlineStr">
        <is>
          <t xml:space="preserve">Date of Field Observation: </t>
        </is>
      </c>
      <c r="I88" s="37" t="n"/>
      <c r="J88" s="42" t="n"/>
      <c r="K88" s="8" t="n"/>
    </row>
    <row r="89">
      <c r="A89" s="11" t="n"/>
      <c r="B89" s="17" t="inlineStr">
        <is>
          <t>METUCHEN, NEW JERSEY  08840</t>
        </is>
      </c>
      <c r="C89" s="17" t="n"/>
      <c r="D89" s="15" t="n"/>
      <c r="E89" s="15" t="n"/>
      <c r="G89" s="21" t="n"/>
      <c r="H89" s="20" t="inlineStr">
        <is>
          <t xml:space="preserve">Time of Field Observation: </t>
        </is>
      </c>
      <c r="I89" s="37" t="n"/>
      <c r="J89" s="42" t="n"/>
      <c r="K89" s="8" t="n"/>
    </row>
    <row r="90">
      <c r="A90" s="11" t="n"/>
      <c r="B90" s="17" t="inlineStr">
        <is>
          <t>TEL#  (732) 548-8782</t>
        </is>
      </c>
      <c r="C90" s="17" t="n"/>
      <c r="D90" s="15" t="n"/>
      <c r="E90" s="22" t="n"/>
      <c r="G90" s="12" t="n"/>
      <c r="H90" s="20" t="inlineStr">
        <is>
          <t xml:space="preserve">Sheet: </t>
        </is>
      </c>
      <c r="I90" s="9" t="n">
        <v>3</v>
      </c>
      <c r="J90" s="39" t="inlineStr">
        <is>
          <t>of 4</t>
        </is>
      </c>
      <c r="K90" s="8" t="n"/>
    </row>
    <row r="91">
      <c r="A91" s="11" t="n"/>
      <c r="C91" s="23" t="n"/>
      <c r="F91" s="24" t="n"/>
      <c r="G91" s="25" t="n"/>
      <c r="H91" s="26" t="inlineStr">
        <is>
          <t>Cert. of Auth. #24GA2872300</t>
        </is>
      </c>
      <c r="I91" s="27" t="n"/>
      <c r="K91" s="8" t="n"/>
    </row>
    <row r="92">
      <c r="A92" s="11" t="n"/>
      <c r="C92" s="23" t="n"/>
      <c r="F92" s="24" t="n"/>
      <c r="G92" s="25" t="n"/>
      <c r="H92" s="26" t="n"/>
      <c r="I92" s="27" t="n"/>
      <c r="K92" s="8" t="n"/>
    </row>
    <row r="93">
      <c r="A93" s="11" t="n"/>
      <c r="B93" s="12" t="n"/>
      <c r="C93" s="12" t="inlineStr">
        <is>
          <t>PROJECT:</t>
        </is>
      </c>
      <c r="D93" s="38" t="inlineStr">
        <is>
          <t>STAFFORD ROAD SANITARY SEWER PHASE I</t>
        </is>
      </c>
      <c r="E93" s="43" t="n"/>
      <c r="F93" s="43" t="n"/>
      <c r="G93" s="43" t="n"/>
      <c r="H93" s="43" t="n"/>
      <c r="I93" s="43" t="n"/>
      <c r="J93" s="43" t="n"/>
      <c r="K93" s="8" t="n"/>
    </row>
    <row r="94">
      <c r="A94" s="11" t="n"/>
      <c r="B94" s="12" t="n"/>
      <c r="C94" s="12" t="inlineStr">
        <is>
          <t>CONTRACTOR:</t>
        </is>
      </c>
      <c r="D94" s="39" t="inlineStr">
        <is>
          <t>MONTANA CONSTRUCTION</t>
        </is>
      </c>
      <c r="E94" s="42" t="n"/>
      <c r="F94" s="42" t="n"/>
      <c r="G94" s="42" t="n"/>
      <c r="H94" s="42" t="n"/>
      <c r="I94" s="40" t="inlineStr">
        <is>
          <t>REV 0</t>
        </is>
      </c>
      <c r="J94" s="42" t="n"/>
      <c r="K94" s="8" t="n"/>
    </row>
    <row r="95">
      <c r="A95" s="11" t="n"/>
      <c r="B95" s="12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8" t="n"/>
    </row>
    <row r="96">
      <c r="A96" s="11" t="n"/>
      <c r="B96" s="12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8" t="n"/>
    </row>
    <row r="97">
      <c r="A97" s="11" t="n"/>
      <c r="B97" s="12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8" t="n"/>
    </row>
    <row r="98" ht="26.25" customHeight="1">
      <c r="A98" s="11" t="n"/>
      <c r="B98" s="34" t="inlineStr">
        <is>
          <t>TRACK 3</t>
        </is>
      </c>
      <c r="K98" s="8" t="n"/>
    </row>
    <row r="99">
      <c r="A99" s="11" t="n"/>
      <c r="B99" s="35" t="inlineStr">
        <is>
          <t>RIGHT RAIL</t>
        </is>
      </c>
      <c r="F99" s="35" t="inlineStr">
        <is>
          <t>LEFT RAIL</t>
        </is>
      </c>
      <c r="J99" t="inlineStr">
        <is>
          <t>CROSS</t>
        </is>
      </c>
      <c r="K99" s="8" t="n"/>
    </row>
    <row r="100" ht="18" customHeight="1">
      <c r="A100" s="11" t="n"/>
      <c r="B100" s="31" t="inlineStr">
        <is>
          <t>TMP</t>
        </is>
      </c>
      <c r="C100" s="31" t="inlineStr">
        <is>
          <t>DN</t>
        </is>
      </c>
      <c r="D100" s="31" t="inlineStr">
        <is>
          <t>DE</t>
        </is>
      </c>
      <c r="E100" s="31" t="inlineStr">
        <is>
          <t>DELV</t>
        </is>
      </c>
      <c r="F100" s="31" t="inlineStr">
        <is>
          <t>TMP</t>
        </is>
      </c>
      <c r="G100" s="31" t="inlineStr">
        <is>
          <t>DN</t>
        </is>
      </c>
      <c r="H100" s="31" t="inlineStr">
        <is>
          <t>DE</t>
        </is>
      </c>
      <c r="I100" s="31" t="inlineStr">
        <is>
          <t>DELV</t>
        </is>
      </c>
      <c r="J100" s="31" t="inlineStr">
        <is>
          <t>LEVEL</t>
        </is>
      </c>
      <c r="K100" s="8" t="n"/>
    </row>
    <row r="101">
      <c r="A101" s="11" t="n"/>
      <c r="B101" s="32" t="n">
        <v>300</v>
      </c>
      <c r="C101" s="49" t="n"/>
      <c r="D101" s="49" t="n"/>
      <c r="E101" s="49" t="n"/>
      <c r="F101" s="32">
        <f>B101+1</f>
        <v/>
      </c>
      <c r="G101" s="49" t="n"/>
      <c r="H101" s="49" t="n"/>
      <c r="I101" s="49" t="n"/>
      <c r="J101" s="49">
        <f>IF(OR(NOT(ISNUMBER(E101)),NOT(ISNUMBER(I101))),"NULL",E101-I101)</f>
        <v/>
      </c>
      <c r="K101" s="8" t="n"/>
    </row>
    <row r="102">
      <c r="A102" s="11" t="n"/>
      <c r="B102" s="32">
        <f>B101+2</f>
        <v/>
      </c>
      <c r="C102" s="49" t="n"/>
      <c r="D102" s="49" t="n"/>
      <c r="E102" s="49" t="n"/>
      <c r="F102" s="32">
        <f>F101+2</f>
        <v/>
      </c>
      <c r="G102" s="49" t="n"/>
      <c r="H102" s="49" t="n"/>
      <c r="I102" s="49" t="n"/>
      <c r="J102" s="49">
        <f>IF(OR(NOT(ISNUMBER(E102)),NOT(ISNUMBER(I102))),"NULL",E102-I102)</f>
        <v/>
      </c>
      <c r="K102" s="8" t="n"/>
    </row>
    <row r="103">
      <c r="A103" s="11" t="n"/>
      <c r="B103" s="32">
        <f>B102+2</f>
        <v/>
      </c>
      <c r="C103" s="49" t="n"/>
      <c r="D103" s="49" t="n"/>
      <c r="E103" s="49" t="n"/>
      <c r="F103" s="32">
        <f>F102+2</f>
        <v/>
      </c>
      <c r="G103" s="49" t="n"/>
      <c r="H103" s="49" t="n"/>
      <c r="I103" s="49" t="n"/>
      <c r="J103" s="49">
        <f>IF(OR(NOT(ISNUMBER(E103)),NOT(ISNUMBER(I103))),"NULL",E103-I103)</f>
        <v/>
      </c>
      <c r="K103" s="8" t="n"/>
    </row>
    <row r="104">
      <c r="A104" s="11" t="n"/>
      <c r="B104" s="32">
        <f>B103+2</f>
        <v/>
      </c>
      <c r="C104" s="49" t="n"/>
      <c r="D104" s="49" t="n"/>
      <c r="E104" s="49" t="n"/>
      <c r="F104" s="32">
        <f>F103+2</f>
        <v/>
      </c>
      <c r="G104" s="49" t="n"/>
      <c r="H104" s="49" t="n"/>
      <c r="I104" s="49" t="n"/>
      <c r="J104" s="49">
        <f>IF(OR(NOT(ISNUMBER(E104)),NOT(ISNUMBER(I104))),"NULL",E104-I104)</f>
        <v/>
      </c>
      <c r="K104" s="8" t="n"/>
    </row>
    <row r="105">
      <c r="A105" s="11" t="n"/>
      <c r="B105" s="32">
        <f>B104+2</f>
        <v/>
      </c>
      <c r="C105" s="49" t="n"/>
      <c r="D105" s="49" t="n"/>
      <c r="E105" s="49" t="n"/>
      <c r="F105" s="32">
        <f>F104+2</f>
        <v/>
      </c>
      <c r="G105" s="49" t="n"/>
      <c r="H105" s="49" t="n"/>
      <c r="I105" s="49" t="n"/>
      <c r="J105" s="49">
        <f>IF(OR(NOT(ISNUMBER(E105)),NOT(ISNUMBER(I105))),"NULL",E105-I105)</f>
        <v/>
      </c>
      <c r="K105" s="8" t="n"/>
    </row>
    <row r="106">
      <c r="A106" s="11" t="n"/>
      <c r="B106" s="32">
        <f>B105+2</f>
        <v/>
      </c>
      <c r="C106" s="49" t="n"/>
      <c r="D106" s="49" t="n"/>
      <c r="E106" s="49" t="n"/>
      <c r="F106" s="32">
        <f>F105+2</f>
        <v/>
      </c>
      <c r="G106" s="49" t="n"/>
      <c r="H106" s="49" t="n"/>
      <c r="I106" s="49" t="n"/>
      <c r="J106" s="49">
        <f>IF(OR(NOT(ISNUMBER(E106)),NOT(ISNUMBER(I106))),"NULL",E106-I106)</f>
        <v/>
      </c>
      <c r="K106" s="8" t="n"/>
    </row>
    <row r="107">
      <c r="A107" s="11" t="n"/>
      <c r="B107" s="32">
        <f>B106+2</f>
        <v/>
      </c>
      <c r="C107" s="49" t="n"/>
      <c r="D107" s="49" t="n"/>
      <c r="E107" s="49" t="n"/>
      <c r="F107" s="32">
        <f>F106+2</f>
        <v/>
      </c>
      <c r="G107" s="49" t="n"/>
      <c r="H107" s="49" t="n"/>
      <c r="I107" s="49" t="n"/>
      <c r="J107" s="49">
        <f>IF(OR(NOT(ISNUMBER(E107)),NOT(ISNUMBER(I107))),"NULL",E107-I107)</f>
        <v/>
      </c>
      <c r="K107" s="8" t="n"/>
    </row>
    <row r="108">
      <c r="A108" s="11" t="n"/>
      <c r="B108" s="32">
        <f>B107+2</f>
        <v/>
      </c>
      <c r="C108" s="49" t="n"/>
      <c r="D108" s="49" t="n"/>
      <c r="E108" s="49" t="n"/>
      <c r="F108" s="32">
        <f>F107+2</f>
        <v/>
      </c>
      <c r="G108" s="49" t="n"/>
      <c r="H108" s="49" t="n"/>
      <c r="I108" s="49" t="n"/>
      <c r="J108" s="49">
        <f>IF(OR(NOT(ISNUMBER(E108)),NOT(ISNUMBER(I108))),"NULL",E108-I108)</f>
        <v/>
      </c>
      <c r="K108" s="8" t="n"/>
    </row>
    <row r="109">
      <c r="A109" s="11" t="n"/>
      <c r="B109" s="32">
        <f>B108+2</f>
        <v/>
      </c>
      <c r="C109" s="49" t="n"/>
      <c r="D109" s="49" t="n"/>
      <c r="E109" s="49" t="n"/>
      <c r="F109" s="32">
        <f>F108+2</f>
        <v/>
      </c>
      <c r="G109" s="49" t="n"/>
      <c r="H109" s="49" t="n"/>
      <c r="I109" s="49" t="n"/>
      <c r="J109" s="49">
        <f>IF(OR(NOT(ISNUMBER(E109)),NOT(ISNUMBER(I109))),"NULL",E109-I109)</f>
        <v/>
      </c>
      <c r="K109" s="8" t="n"/>
    </row>
    <row r="110">
      <c r="A110" s="11" t="n"/>
      <c r="B110" s="32">
        <f>B109+2</f>
        <v/>
      </c>
      <c r="C110" s="49" t="n"/>
      <c r="D110" s="49" t="n"/>
      <c r="E110" s="49" t="n"/>
      <c r="F110" s="32">
        <f>F109+2</f>
        <v/>
      </c>
      <c r="G110" s="49" t="n"/>
      <c r="H110" s="49" t="n"/>
      <c r="I110" s="49" t="n"/>
      <c r="J110" s="49">
        <f>IF(OR(NOT(ISNUMBER(E110)),NOT(ISNUMBER(I110))),"NULL",E110-I110)</f>
        <v/>
      </c>
      <c r="K110" s="8" t="n"/>
    </row>
    <row r="111">
      <c r="A111" s="11" t="n"/>
      <c r="B111" s="32">
        <f>B110+2</f>
        <v/>
      </c>
      <c r="C111" s="49" t="n"/>
      <c r="D111" s="49" t="n"/>
      <c r="E111" s="49" t="n"/>
      <c r="F111" s="32">
        <f>F110+2</f>
        <v/>
      </c>
      <c r="G111" s="49" t="n"/>
      <c r="H111" s="49" t="n"/>
      <c r="I111" s="49" t="n"/>
      <c r="J111" s="49">
        <f>IF(OR(NOT(ISNUMBER(E111)),NOT(ISNUMBER(I111))),"NULL",E111-I111)</f>
        <v/>
      </c>
      <c r="K111" s="8" t="n"/>
    </row>
    <row r="112">
      <c r="A112" s="11" t="n"/>
      <c r="B112" s="32">
        <f>B111+2</f>
        <v/>
      </c>
      <c r="C112" s="49" t="n"/>
      <c r="D112" s="49" t="n"/>
      <c r="E112" s="49" t="n"/>
      <c r="F112" s="32">
        <f>F111+2</f>
        <v/>
      </c>
      <c r="G112" s="49" t="n"/>
      <c r="H112" s="49" t="n"/>
      <c r="I112" s="49" t="n"/>
      <c r="J112" s="49">
        <f>IF(OR(NOT(ISNUMBER(E112)),NOT(ISNUMBER(I112))),"NULL",E112-I112)</f>
        <v/>
      </c>
      <c r="K112" s="8" t="n"/>
    </row>
    <row r="113">
      <c r="A113" s="11" t="n"/>
      <c r="B113" s="32">
        <f>B112+2</f>
        <v/>
      </c>
      <c r="C113" s="49" t="n"/>
      <c r="D113" s="49" t="n"/>
      <c r="E113" s="49" t="n"/>
      <c r="F113" s="32">
        <f>F112+2</f>
        <v/>
      </c>
      <c r="G113" s="49" t="n"/>
      <c r="H113" s="49" t="n"/>
      <c r="I113" s="49" t="n"/>
      <c r="J113" s="49">
        <f>IF(OR(NOT(ISNUMBER(E113)),NOT(ISNUMBER(I113))),"NULL",E113-I113)</f>
        <v/>
      </c>
      <c r="K113" s="8" t="n"/>
    </row>
    <row r="114">
      <c r="A114" s="11" t="n"/>
      <c r="B114" s="32">
        <f>B113+2</f>
        <v/>
      </c>
      <c r="C114" s="49" t="n"/>
      <c r="D114" s="49" t="n"/>
      <c r="E114" s="49" t="n"/>
      <c r="F114" s="32">
        <f>F113+2</f>
        <v/>
      </c>
      <c r="G114" s="49" t="n"/>
      <c r="H114" s="49" t="n"/>
      <c r="I114" s="49" t="n"/>
      <c r="J114" s="49">
        <f>IF(OR(NOT(ISNUMBER(E114)),NOT(ISNUMBER(I114))),"NULL",E114-I114)</f>
        <v/>
      </c>
      <c r="K114" s="8" t="n"/>
    </row>
    <row r="115">
      <c r="A115" s="11" t="n"/>
      <c r="B115" s="32">
        <f>B114+2</f>
        <v/>
      </c>
      <c r="C115" s="49" t="n"/>
      <c r="D115" s="49" t="n"/>
      <c r="E115" s="49" t="n"/>
      <c r="F115" s="32">
        <f>F114+2</f>
        <v/>
      </c>
      <c r="G115" s="49" t="n"/>
      <c r="H115" s="49" t="n"/>
      <c r="I115" s="49" t="n"/>
      <c r="J115" s="49">
        <f>IF(OR(NOT(ISNUMBER(E115)),NOT(ISNUMBER(I115))),"NULL",E115-I115)</f>
        <v/>
      </c>
      <c r="K115" s="8" t="n"/>
    </row>
    <row r="116">
      <c r="A116" s="11" t="n"/>
      <c r="B116" s="32">
        <f>B115+2</f>
        <v/>
      </c>
      <c r="C116" s="49" t="n"/>
      <c r="D116" s="49" t="n"/>
      <c r="E116" s="49" t="n"/>
      <c r="F116" s="32">
        <f>F115+2</f>
        <v/>
      </c>
      <c r="G116" s="49" t="n"/>
      <c r="H116" s="49" t="n"/>
      <c r="I116" s="49" t="n"/>
      <c r="J116" s="49">
        <f>IF(OR(NOT(ISNUMBER(E116)),NOT(ISNUMBER(I116))),"NULL",E116-I116)</f>
        <v/>
      </c>
      <c r="K116" s="8" t="n"/>
    </row>
    <row r="117">
      <c r="A117" s="11" t="n"/>
      <c r="B117" s="32">
        <f>B116+2</f>
        <v/>
      </c>
      <c r="C117" s="49" t="n"/>
      <c r="D117" s="49" t="n"/>
      <c r="E117" s="49" t="n"/>
      <c r="F117" s="32">
        <f>F116+2</f>
        <v/>
      </c>
      <c r="G117" s="49" t="n"/>
      <c r="H117" s="49" t="n"/>
      <c r="I117" s="49" t="n"/>
      <c r="J117" s="49">
        <f>IF(OR(NOT(ISNUMBER(E117)),NOT(ISNUMBER(I117))),"NULL",E117-I117)</f>
        <v/>
      </c>
      <c r="K117" s="8" t="n"/>
    </row>
    <row r="118">
      <c r="A118" s="11" t="n"/>
      <c r="B118" s="32">
        <f>B117+2</f>
        <v/>
      </c>
      <c r="C118" s="49" t="n"/>
      <c r="D118" s="49" t="n"/>
      <c r="E118" s="49" t="n"/>
      <c r="F118" s="32">
        <f>F117+2</f>
        <v/>
      </c>
      <c r="G118" s="49" t="n"/>
      <c r="H118" s="49" t="n"/>
      <c r="I118" s="49" t="n"/>
      <c r="J118" s="49">
        <f>IF(OR(NOT(ISNUMBER(E118)),NOT(ISNUMBER(I118))),"NULL",E118-I118)</f>
        <v/>
      </c>
      <c r="K118" s="8" t="n"/>
    </row>
    <row r="119">
      <c r="A119" s="11" t="n"/>
      <c r="B119" s="32">
        <f>B118+2</f>
        <v/>
      </c>
      <c r="C119" s="49" t="n"/>
      <c r="D119" s="49" t="n"/>
      <c r="E119" s="49" t="n"/>
      <c r="F119" s="32">
        <f>F118+2</f>
        <v/>
      </c>
      <c r="G119" s="49" t="n"/>
      <c r="H119" s="49" t="n"/>
      <c r="I119" s="49" t="n"/>
      <c r="J119" s="49">
        <f>IF(OR(NOT(ISNUMBER(E119)),NOT(ISNUMBER(I119))),"NULL",E119-I119)</f>
        <v/>
      </c>
      <c r="K119" s="8" t="n"/>
    </row>
    <row r="120">
      <c r="A120" s="11" t="n"/>
      <c r="K120" s="8" t="n"/>
    </row>
    <row r="121">
      <c r="A121" s="11" t="n"/>
      <c r="K121" s="8" t="n"/>
    </row>
    <row r="122">
      <c r="A122" s="11" t="n"/>
      <c r="K122" s="8" t="n"/>
    </row>
    <row r="123">
      <c r="A123" s="11" t="n"/>
      <c r="K123" s="8" t="n"/>
    </row>
    <row r="124">
      <c r="A124" s="11" t="n"/>
      <c r="K124" s="8" t="n"/>
    </row>
    <row r="125">
      <c r="A125" s="11" t="n"/>
      <c r="K125" s="8" t="n"/>
    </row>
    <row r="126">
      <c r="A126" s="11" t="n"/>
      <c r="K126" s="8" t="n"/>
    </row>
    <row r="127">
      <c r="A127" s="11" t="n"/>
      <c r="K127" s="8" t="n"/>
    </row>
    <row r="128">
      <c r="A128" s="11" t="n"/>
      <c r="K128" s="8" t="n"/>
    </row>
    <row r="129" ht="15.75" customHeight="1" thickBot="1">
      <c r="A129" s="28" t="n"/>
      <c r="B129" s="29" t="n"/>
      <c r="C129" s="29" t="n"/>
      <c r="D129" s="29" t="n"/>
      <c r="E129" s="29" t="n"/>
      <c r="F129" s="29" t="n"/>
      <c r="G129" s="29" t="n"/>
      <c r="H129" s="29" t="n"/>
      <c r="I129" s="29" t="n"/>
      <c r="J129" s="29" t="n"/>
      <c r="K129" s="30" t="n"/>
    </row>
    <row r="130" ht="18.75" customHeight="1">
      <c r="A130" s="16" t="n"/>
      <c r="B130" s="1" t="inlineStr">
        <is>
          <t>LANDMARK SURVEYS L.L.C.</t>
        </is>
      </c>
      <c r="C130" s="1" t="n"/>
      <c r="D130" s="2" t="n"/>
      <c r="E130" s="3" t="n"/>
      <c r="F130" s="4" t="n"/>
      <c r="G130" s="5" t="n"/>
      <c r="H130" s="6" t="inlineStr">
        <is>
          <t xml:space="preserve">LS File: </t>
        </is>
      </c>
      <c r="I130" s="36" t="n">
        <v>25146</v>
      </c>
      <c r="J130" s="41" t="n"/>
      <c r="K130" s="7" t="n"/>
    </row>
    <row r="131">
      <c r="A131" s="11" t="n"/>
      <c r="B131" s="17" t="inlineStr">
        <is>
          <t>51 BRIDGE STREET</t>
        </is>
      </c>
      <c r="C131" s="17" t="n"/>
      <c r="D131" s="14" t="n"/>
      <c r="E131" s="14" t="n"/>
      <c r="F131" s="18" t="n"/>
      <c r="G131" s="19" t="n"/>
      <c r="H131" s="20" t="inlineStr">
        <is>
          <t xml:space="preserve">Date of Field Observation: </t>
        </is>
      </c>
      <c r="I131" s="37" t="n"/>
      <c r="J131" s="42" t="n"/>
      <c r="K131" s="8" t="n"/>
    </row>
    <row r="132">
      <c r="A132" s="11" t="n"/>
      <c r="B132" s="17" t="inlineStr">
        <is>
          <t>METUCHEN, NEW JERSEY  08840</t>
        </is>
      </c>
      <c r="C132" s="17" t="n"/>
      <c r="D132" s="15" t="n"/>
      <c r="E132" s="15" t="n"/>
      <c r="G132" s="21" t="n"/>
      <c r="H132" s="20" t="inlineStr">
        <is>
          <t xml:space="preserve">Time of Field Observation: </t>
        </is>
      </c>
      <c r="I132" s="37" t="n"/>
      <c r="J132" s="42" t="n"/>
      <c r="K132" s="8" t="n"/>
    </row>
    <row r="133">
      <c r="A133" s="11" t="n"/>
      <c r="B133" s="17" t="inlineStr">
        <is>
          <t>TEL#  (732) 548-8782</t>
        </is>
      </c>
      <c r="C133" s="17" t="n"/>
      <c r="D133" s="15" t="n"/>
      <c r="E133" s="22" t="n"/>
      <c r="G133" s="12" t="n"/>
      <c r="H133" s="20" t="inlineStr">
        <is>
          <t xml:space="preserve">Sheet: </t>
        </is>
      </c>
      <c r="I133" s="9" t="n">
        <v>4</v>
      </c>
      <c r="J133" s="39" t="inlineStr">
        <is>
          <t>of 4</t>
        </is>
      </c>
      <c r="K133" s="8" t="n"/>
    </row>
    <row r="134">
      <c r="A134" s="11" t="n"/>
      <c r="C134" s="23" t="n"/>
      <c r="F134" s="24" t="n"/>
      <c r="G134" s="25" t="n"/>
      <c r="H134" s="26" t="inlineStr">
        <is>
          <t>Cert. of Auth. #24GA2872300</t>
        </is>
      </c>
      <c r="I134" s="27" t="n"/>
      <c r="K134" s="8" t="n"/>
    </row>
    <row r="135">
      <c r="A135" s="11" t="n"/>
      <c r="C135" s="23" t="n"/>
      <c r="F135" s="24" t="n"/>
      <c r="G135" s="25" t="n"/>
      <c r="H135" s="26" t="n"/>
      <c r="I135" s="27" t="n"/>
      <c r="K135" s="8" t="n"/>
    </row>
    <row r="136">
      <c r="A136" s="11" t="n"/>
      <c r="B136" s="12" t="n"/>
      <c r="C136" s="12" t="inlineStr">
        <is>
          <t>PROJECT:</t>
        </is>
      </c>
      <c r="D136" s="38" t="inlineStr">
        <is>
          <t>STAFFORD ROAD SANITARY SEWER PHASE I</t>
        </is>
      </c>
      <c r="E136" s="43" t="n"/>
      <c r="F136" s="43" t="n"/>
      <c r="G136" s="43" t="n"/>
      <c r="H136" s="43" t="n"/>
      <c r="I136" s="43" t="n"/>
      <c r="J136" s="43" t="n"/>
      <c r="K136" s="8" t="n"/>
    </row>
    <row r="137">
      <c r="A137" s="11" t="n"/>
      <c r="B137" s="12" t="n"/>
      <c r="C137" s="12" t="inlineStr">
        <is>
          <t>CONTRACTOR:</t>
        </is>
      </c>
      <c r="D137" s="39" t="inlineStr">
        <is>
          <t>MONTANA CONSTRUCTION</t>
        </is>
      </c>
      <c r="E137" s="42" t="n"/>
      <c r="F137" s="42" t="n"/>
      <c r="G137" s="42" t="n"/>
      <c r="H137" s="42" t="n"/>
      <c r="I137" s="40" t="inlineStr">
        <is>
          <t>REV 0</t>
        </is>
      </c>
      <c r="J137" s="42" t="n"/>
      <c r="K137" s="8" t="n"/>
    </row>
    <row r="138">
      <c r="A138" s="11" t="n"/>
      <c r="B138" s="12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8" t="n"/>
    </row>
    <row r="139">
      <c r="A139" s="11" t="n"/>
      <c r="B139" s="12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8" t="n"/>
    </row>
    <row r="140">
      <c r="A140" s="11" t="n"/>
      <c r="B140" s="12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8" t="n"/>
    </row>
    <row r="141" ht="26.25" customHeight="1">
      <c r="A141" s="11" t="n"/>
      <c r="B141" s="34" t="inlineStr">
        <is>
          <t>TRACK 4</t>
        </is>
      </c>
      <c r="K141" s="8" t="n"/>
    </row>
    <row r="142">
      <c r="A142" s="11" t="n"/>
      <c r="B142" s="35" t="inlineStr">
        <is>
          <t>RIGHT RAIL</t>
        </is>
      </c>
      <c r="F142" s="35" t="inlineStr">
        <is>
          <t>LEFT RAIL</t>
        </is>
      </c>
      <c r="J142" t="inlineStr">
        <is>
          <t>CROSS</t>
        </is>
      </c>
      <c r="K142" s="8" t="n"/>
    </row>
    <row r="143" ht="18" customHeight="1">
      <c r="A143" s="11" t="n"/>
      <c r="B143" s="31" t="inlineStr">
        <is>
          <t>TMP</t>
        </is>
      </c>
      <c r="C143" s="31" t="inlineStr">
        <is>
          <t>DN</t>
        </is>
      </c>
      <c r="D143" s="31" t="inlineStr">
        <is>
          <t>DE</t>
        </is>
      </c>
      <c r="E143" s="31" t="inlineStr">
        <is>
          <t>DELV</t>
        </is>
      </c>
      <c r="F143" s="31" t="inlineStr">
        <is>
          <t>TMP</t>
        </is>
      </c>
      <c r="G143" s="31" t="inlineStr">
        <is>
          <t>DN</t>
        </is>
      </c>
      <c r="H143" s="31" t="inlineStr">
        <is>
          <t>DE</t>
        </is>
      </c>
      <c r="I143" s="31" t="inlineStr">
        <is>
          <t>DELV</t>
        </is>
      </c>
      <c r="J143" s="31" t="inlineStr">
        <is>
          <t>LEVEL</t>
        </is>
      </c>
      <c r="K143" s="8" t="n"/>
    </row>
    <row r="144">
      <c r="A144" s="11" t="n"/>
      <c r="B144" s="32" t="n">
        <v>400</v>
      </c>
      <c r="C144" s="49" t="n"/>
      <c r="D144" s="49" t="n"/>
      <c r="E144" s="49" t="n"/>
      <c r="F144" s="32">
        <f>B144+1</f>
        <v/>
      </c>
      <c r="G144" s="49" t="n"/>
      <c r="H144" s="49" t="n"/>
      <c r="I144" s="49" t="n"/>
      <c r="J144" s="49">
        <f>IF(OR(NOT(ISNUMBER(E144)),NOT(ISNUMBER(I144))),"NULL",E144-I144)</f>
        <v/>
      </c>
      <c r="K144" s="8" t="n"/>
    </row>
    <row r="145">
      <c r="A145" s="11" t="n"/>
      <c r="B145" s="32">
        <f>B144+2</f>
        <v/>
      </c>
      <c r="C145" s="49" t="n"/>
      <c r="D145" s="49" t="n"/>
      <c r="E145" s="49" t="n"/>
      <c r="F145" s="32">
        <f>F144+2</f>
        <v/>
      </c>
      <c r="G145" s="49" t="n"/>
      <c r="H145" s="49" t="n"/>
      <c r="I145" s="49" t="n"/>
      <c r="J145" s="49">
        <f>IF(OR(NOT(ISNUMBER(E145)),NOT(ISNUMBER(I145))),"NULL",E145-I145)</f>
        <v/>
      </c>
      <c r="K145" s="8" t="n"/>
    </row>
    <row r="146">
      <c r="A146" s="11" t="n"/>
      <c r="B146" s="32">
        <f>B145+2</f>
        <v/>
      </c>
      <c r="C146" s="49" t="n"/>
      <c r="D146" s="49" t="n"/>
      <c r="E146" s="49" t="n"/>
      <c r="F146" s="32">
        <f>F145+2</f>
        <v/>
      </c>
      <c r="G146" s="49" t="n"/>
      <c r="H146" s="49" t="n"/>
      <c r="I146" s="49" t="n"/>
      <c r="J146" s="49">
        <f>IF(OR(NOT(ISNUMBER(E146)),NOT(ISNUMBER(I146))),"NULL",E146-I146)</f>
        <v/>
      </c>
      <c r="K146" s="8" t="n"/>
    </row>
    <row r="147">
      <c r="A147" s="11" t="n"/>
      <c r="B147" s="32">
        <f>B146+2</f>
        <v/>
      </c>
      <c r="C147" s="49" t="n"/>
      <c r="D147" s="49" t="n"/>
      <c r="E147" s="49" t="n"/>
      <c r="F147" s="32">
        <f>F146+2</f>
        <v/>
      </c>
      <c r="G147" s="49" t="n"/>
      <c r="H147" s="49" t="n"/>
      <c r="I147" s="49" t="n"/>
      <c r="J147" s="49">
        <f>IF(OR(NOT(ISNUMBER(E147)),NOT(ISNUMBER(I147))),"NULL",E147-I147)</f>
        <v/>
      </c>
      <c r="K147" s="8" t="n"/>
    </row>
    <row r="148">
      <c r="A148" s="11" t="n"/>
      <c r="B148" s="32">
        <f>B147+2</f>
        <v/>
      </c>
      <c r="C148" s="49" t="n"/>
      <c r="D148" s="49" t="n"/>
      <c r="E148" s="49" t="n"/>
      <c r="F148" s="32">
        <f>F147+2</f>
        <v/>
      </c>
      <c r="G148" s="49" t="n"/>
      <c r="H148" s="49" t="n"/>
      <c r="I148" s="49" t="n"/>
      <c r="J148" s="49">
        <f>IF(OR(NOT(ISNUMBER(E148)),NOT(ISNUMBER(I148))),"NULL",E148-I148)</f>
        <v/>
      </c>
      <c r="K148" s="8" t="n"/>
    </row>
    <row r="149">
      <c r="A149" s="11" t="n"/>
      <c r="B149" s="32">
        <f>B148+2</f>
        <v/>
      </c>
      <c r="C149" s="49" t="n"/>
      <c r="D149" s="49" t="n"/>
      <c r="E149" s="49" t="n"/>
      <c r="F149" s="32">
        <f>F148+2</f>
        <v/>
      </c>
      <c r="G149" s="49" t="n"/>
      <c r="H149" s="49" t="n"/>
      <c r="I149" s="49" t="n"/>
      <c r="J149" s="49">
        <f>IF(OR(NOT(ISNUMBER(E149)),NOT(ISNUMBER(I149))),"NULL",E149-I149)</f>
        <v/>
      </c>
      <c r="K149" s="8" t="n"/>
    </row>
    <row r="150">
      <c r="A150" s="11" t="n"/>
      <c r="B150" s="32">
        <f>B149+2</f>
        <v/>
      </c>
      <c r="C150" s="49" t="n"/>
      <c r="D150" s="49" t="n"/>
      <c r="E150" s="49" t="n"/>
      <c r="F150" s="32">
        <f>F149+2</f>
        <v/>
      </c>
      <c r="G150" s="49" t="n"/>
      <c r="H150" s="49" t="n"/>
      <c r="I150" s="49" t="n"/>
      <c r="J150" s="49">
        <f>IF(OR(NOT(ISNUMBER(E150)),NOT(ISNUMBER(I150))),"NULL",E150-I150)</f>
        <v/>
      </c>
      <c r="K150" s="8" t="n"/>
    </row>
    <row r="151">
      <c r="A151" s="11" t="n"/>
      <c r="B151" s="32">
        <f>B150+2</f>
        <v/>
      </c>
      <c r="C151" s="49" t="n"/>
      <c r="D151" s="49" t="n"/>
      <c r="E151" s="49" t="n"/>
      <c r="F151" s="32">
        <f>F150+2</f>
        <v/>
      </c>
      <c r="G151" s="49" t="n"/>
      <c r="H151" s="49" t="n"/>
      <c r="I151" s="49" t="n"/>
      <c r="J151" s="49">
        <f>IF(OR(NOT(ISNUMBER(E151)),NOT(ISNUMBER(I151))),"NULL",E151-I151)</f>
        <v/>
      </c>
      <c r="K151" s="8" t="n"/>
    </row>
    <row r="152">
      <c r="A152" s="11" t="n"/>
      <c r="B152" s="32">
        <f>B151+2</f>
        <v/>
      </c>
      <c r="C152" s="49" t="n"/>
      <c r="D152" s="49" t="n"/>
      <c r="E152" s="49" t="n"/>
      <c r="F152" s="32">
        <f>F151+2</f>
        <v/>
      </c>
      <c r="G152" s="49" t="n"/>
      <c r="H152" s="49" t="n"/>
      <c r="I152" s="49" t="n"/>
      <c r="J152" s="49">
        <f>IF(OR(NOT(ISNUMBER(E152)),NOT(ISNUMBER(I152))),"NULL",E152-I152)</f>
        <v/>
      </c>
      <c r="K152" s="8" t="n"/>
    </row>
    <row r="153">
      <c r="A153" s="11" t="n"/>
      <c r="B153" s="32">
        <f>B152+2</f>
        <v/>
      </c>
      <c r="C153" s="49" t="n"/>
      <c r="D153" s="49" t="n"/>
      <c r="E153" s="49" t="n"/>
      <c r="F153" s="32">
        <f>F152+2</f>
        <v/>
      </c>
      <c r="G153" s="49" t="n"/>
      <c r="H153" s="49" t="n"/>
      <c r="I153" s="49" t="n"/>
      <c r="J153" s="49">
        <f>IF(OR(NOT(ISNUMBER(E153)),NOT(ISNUMBER(I153))),"NULL",E153-I153)</f>
        <v/>
      </c>
      <c r="K153" s="8" t="n"/>
    </row>
    <row r="154">
      <c r="A154" s="11" t="n"/>
      <c r="B154" s="32">
        <f>B153+2</f>
        <v/>
      </c>
      <c r="C154" s="49" t="n"/>
      <c r="D154" s="49" t="n"/>
      <c r="E154" s="49" t="n"/>
      <c r="F154" s="32">
        <f>F153+2</f>
        <v/>
      </c>
      <c r="G154" s="49" t="n"/>
      <c r="H154" s="49" t="n"/>
      <c r="I154" s="49" t="n"/>
      <c r="J154" s="49">
        <f>IF(OR(NOT(ISNUMBER(E154)),NOT(ISNUMBER(I154))),"NULL",E154-I154)</f>
        <v/>
      </c>
      <c r="K154" s="8" t="n"/>
    </row>
    <row r="155">
      <c r="A155" s="11" t="n"/>
      <c r="B155" s="32">
        <f>B154+2</f>
        <v/>
      </c>
      <c r="C155" s="49" t="n"/>
      <c r="D155" s="49" t="n"/>
      <c r="E155" s="49" t="n"/>
      <c r="F155" s="32">
        <f>F154+2</f>
        <v/>
      </c>
      <c r="G155" s="49" t="n"/>
      <c r="H155" s="49" t="n"/>
      <c r="I155" s="49" t="n"/>
      <c r="J155" s="49">
        <f>IF(OR(NOT(ISNUMBER(E155)),NOT(ISNUMBER(I155))),"NULL",E155-I155)</f>
        <v/>
      </c>
      <c r="K155" s="8" t="n"/>
    </row>
    <row r="156">
      <c r="A156" s="11" t="n"/>
      <c r="B156" s="32">
        <f>B155+2</f>
        <v/>
      </c>
      <c r="C156" s="49" t="n"/>
      <c r="D156" s="49" t="n"/>
      <c r="E156" s="49" t="n"/>
      <c r="F156" s="32">
        <f>F155+2</f>
        <v/>
      </c>
      <c r="G156" s="49" t="n"/>
      <c r="H156" s="49" t="n"/>
      <c r="I156" s="49" t="n"/>
      <c r="J156" s="49">
        <f>IF(OR(NOT(ISNUMBER(E156)),NOT(ISNUMBER(I156))),"NULL",E156-I156)</f>
        <v/>
      </c>
      <c r="K156" s="8" t="n"/>
    </row>
    <row r="157">
      <c r="A157" s="11" t="n"/>
      <c r="B157" s="32">
        <f>B156+2</f>
        <v/>
      </c>
      <c r="C157" s="49" t="n"/>
      <c r="D157" s="49" t="n"/>
      <c r="E157" s="49" t="n"/>
      <c r="F157" s="32">
        <f>F156+2</f>
        <v/>
      </c>
      <c r="G157" s="49" t="n"/>
      <c r="H157" s="49" t="n"/>
      <c r="I157" s="49" t="n"/>
      <c r="J157" s="49">
        <f>IF(OR(NOT(ISNUMBER(E157)),NOT(ISNUMBER(I157))),"NULL",E157-I157)</f>
        <v/>
      </c>
      <c r="K157" s="8" t="n"/>
    </row>
    <row r="158">
      <c r="A158" s="11" t="n"/>
      <c r="B158" s="32">
        <f>B157+2</f>
        <v/>
      </c>
      <c r="C158" s="49" t="n"/>
      <c r="D158" s="49" t="n"/>
      <c r="E158" s="49" t="n"/>
      <c r="F158" s="32">
        <f>F157+2</f>
        <v/>
      </c>
      <c r="G158" s="49" t="n"/>
      <c r="H158" s="49" t="n"/>
      <c r="I158" s="49" t="n"/>
      <c r="J158" s="49">
        <f>IF(OR(NOT(ISNUMBER(E158)),NOT(ISNUMBER(I158))),"NULL",E158-I158)</f>
        <v/>
      </c>
      <c r="K158" s="8" t="n"/>
    </row>
    <row r="159">
      <c r="A159" s="11" t="n"/>
      <c r="B159" s="32">
        <f>B158+2</f>
        <v/>
      </c>
      <c r="C159" s="49" t="n"/>
      <c r="D159" s="49" t="n"/>
      <c r="E159" s="49" t="n"/>
      <c r="F159" s="32">
        <f>F158+2</f>
        <v/>
      </c>
      <c r="G159" s="49" t="n"/>
      <c r="H159" s="49" t="n"/>
      <c r="I159" s="49" t="n"/>
      <c r="J159" s="49">
        <f>IF(OR(NOT(ISNUMBER(E159)),NOT(ISNUMBER(I159))),"NULL",E159-I159)</f>
        <v/>
      </c>
      <c r="K159" s="8" t="n"/>
    </row>
    <row r="160">
      <c r="A160" s="11" t="n"/>
      <c r="B160" s="32">
        <f>B159+2</f>
        <v/>
      </c>
      <c r="C160" s="49" t="n"/>
      <c r="D160" s="49" t="n"/>
      <c r="E160" s="49" t="n"/>
      <c r="F160" s="32">
        <f>F159+2</f>
        <v/>
      </c>
      <c r="G160" s="49" t="n"/>
      <c r="H160" s="49" t="n"/>
      <c r="I160" s="49" t="n"/>
      <c r="J160" s="49">
        <f>IF(OR(NOT(ISNUMBER(E160)),NOT(ISNUMBER(I160))),"NULL",E160-I160)</f>
        <v/>
      </c>
      <c r="K160" s="8" t="n"/>
    </row>
    <row r="161">
      <c r="A161" s="11" t="n"/>
      <c r="B161" s="32">
        <f>B160+2</f>
        <v/>
      </c>
      <c r="C161" s="49" t="n"/>
      <c r="D161" s="49" t="n"/>
      <c r="E161" s="49" t="n"/>
      <c r="F161" s="32">
        <f>F160+2</f>
        <v/>
      </c>
      <c r="G161" s="49" t="n"/>
      <c r="H161" s="49" t="n"/>
      <c r="I161" s="49" t="n"/>
      <c r="J161" s="49">
        <f>IF(OR(NOT(ISNUMBER(E161)),NOT(ISNUMBER(I161))),"NULL",E161-I161)</f>
        <v/>
      </c>
      <c r="K161" s="8" t="n"/>
    </row>
    <row r="162">
      <c r="A162" s="11" t="n"/>
      <c r="B162" s="32">
        <f>B161+2</f>
        <v/>
      </c>
      <c r="C162" s="49" t="n"/>
      <c r="D162" s="49" t="n"/>
      <c r="E162" s="49" t="n"/>
      <c r="F162" s="32">
        <f>F161+2</f>
        <v/>
      </c>
      <c r="G162" s="49" t="n"/>
      <c r="H162" s="49" t="n"/>
      <c r="I162" s="49" t="n"/>
      <c r="J162" s="49">
        <f>IF(OR(NOT(ISNUMBER(E162)),NOT(ISNUMBER(I162))),"NULL",E162-I162)</f>
        <v/>
      </c>
      <c r="K162" s="8" t="n"/>
    </row>
    <row r="163">
      <c r="A163" s="11" t="n"/>
      <c r="K163" s="8" t="n"/>
    </row>
    <row r="164">
      <c r="A164" s="11" t="n"/>
      <c r="K164" s="8" t="n"/>
    </row>
    <row r="165">
      <c r="A165" s="11" t="n"/>
      <c r="K165" s="8" t="n"/>
    </row>
    <row r="166">
      <c r="A166" s="11" t="n"/>
      <c r="K166" s="8" t="n"/>
    </row>
    <row r="167">
      <c r="A167" s="11" t="n"/>
      <c r="K167" s="8" t="n"/>
    </row>
    <row r="168">
      <c r="A168" s="11" t="n"/>
      <c r="K168" s="8" t="n"/>
    </row>
    <row r="169">
      <c r="A169" s="11" t="n"/>
      <c r="K169" s="8" t="n"/>
    </row>
    <row r="170">
      <c r="A170" s="11" t="n"/>
      <c r="K170" s="8" t="n"/>
    </row>
    <row r="171">
      <c r="A171" s="11" t="n"/>
      <c r="K171" s="8" t="n"/>
    </row>
    <row r="172" ht="15.75" customHeight="1" thickBot="1">
      <c r="A172" s="28" t="n"/>
      <c r="B172" s="29" t="n"/>
      <c r="C172" s="29" t="n"/>
      <c r="D172" s="29" t="n"/>
      <c r="E172" s="29" t="n"/>
      <c r="F172" s="29" t="n"/>
      <c r="G172" s="29" t="n"/>
      <c r="H172" s="29" t="n"/>
      <c r="I172" s="29" t="n"/>
      <c r="J172" s="29" t="n"/>
      <c r="K172" s="30" t="n"/>
    </row>
  </sheetData>
  <mergeCells count="36">
    <mergeCell ref="F13:I13"/>
    <mergeCell ref="D93:J93"/>
    <mergeCell ref="F56:I56"/>
    <mergeCell ref="B98:J98"/>
    <mergeCell ref="I46:J46"/>
    <mergeCell ref="I89:J89"/>
    <mergeCell ref="I2:J2"/>
    <mergeCell ref="I45:J45"/>
    <mergeCell ref="B142:E142"/>
    <mergeCell ref="D50:J50"/>
    <mergeCell ref="I131:J131"/>
    <mergeCell ref="B55:J55"/>
    <mergeCell ref="F99:I99"/>
    <mergeCell ref="I3:J3"/>
    <mergeCell ref="I130:J130"/>
    <mergeCell ref="B56:E56"/>
    <mergeCell ref="I87:J87"/>
    <mergeCell ref="F142:I142"/>
    <mergeCell ref="I8:J8"/>
    <mergeCell ref="I132:J132"/>
    <mergeCell ref="D137:H137"/>
    <mergeCell ref="I88:J88"/>
    <mergeCell ref="I1:J1"/>
    <mergeCell ref="D136:J136"/>
    <mergeCell ref="I44:J44"/>
    <mergeCell ref="D8:H8"/>
    <mergeCell ref="I51:J51"/>
    <mergeCell ref="B141:J141"/>
    <mergeCell ref="B13:E13"/>
    <mergeCell ref="D7:J7"/>
    <mergeCell ref="I94:J94"/>
    <mergeCell ref="D51:H51"/>
    <mergeCell ref="D94:H94"/>
    <mergeCell ref="I137:J137"/>
    <mergeCell ref="B12:J12"/>
    <mergeCell ref="B99:E99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4"/>
  <sheetViews>
    <sheetView workbookViewId="0">
      <selection activeCell="A1" sqref="A1"/>
    </sheetView>
  </sheetViews>
  <sheetFormatPr baseColWidth="8" defaultRowHeight="15"/>
  <cols>
    <col width="18" customWidth="1" min="2" max="2"/>
    <col width="20" customWidth="1" min="3" max="3"/>
    <col width="20" customWidth="1" min="4" max="4"/>
    <col width="22" customWidth="1" min="5" max="5"/>
    <col width="4" customWidth="1" min="6" max="6"/>
    <col width="4" customWidth="1" min="7" max="7"/>
    <col width="24" customWidth="1" min="8" max="8"/>
    <col width="12" customWidth="1" min="9" max="9"/>
    <col width="6" customWidth="1" min="10" max="10"/>
  </cols>
  <sheetData>
    <row r="1">
      <c r="B1" s="44" t="inlineStr">
        <is>
          <t>ROAD MOUNTABLE PRISM (RMP) MONITORING</t>
        </is>
      </c>
    </row>
    <row r="3">
      <c r="B3" s="44" t="inlineStr">
        <is>
          <t>LANDMARK SURVEYS L.L.C.</t>
        </is>
      </c>
      <c r="H3" t="inlineStr">
        <is>
          <t xml:space="preserve">LS File: </t>
        </is>
      </c>
      <c r="I3" s="51" t="inlineStr">
        <is>
          <t>25146</t>
        </is>
      </c>
    </row>
    <row r="4">
      <c r="B4" t="inlineStr">
        <is>
          <t>51 BRIDGE STREET</t>
        </is>
      </c>
      <c r="H4" t="inlineStr">
        <is>
          <t xml:space="preserve">Date of Field Observation: </t>
        </is>
      </c>
      <c r="I4" t="inlineStr"/>
    </row>
    <row r="5">
      <c r="B5" t="inlineStr">
        <is>
          <t>METUCHEN, NEW JERSEY  08840</t>
        </is>
      </c>
      <c r="H5" t="inlineStr">
        <is>
          <t xml:space="preserve">Time of Field Observation: </t>
        </is>
      </c>
      <c r="I5" t="inlineStr"/>
    </row>
    <row r="6">
      <c r="B6" t="inlineStr">
        <is>
          <t>TEL#  (732) 548-8782</t>
        </is>
      </c>
      <c r="H6" t="inlineStr">
        <is>
          <t xml:space="preserve">Sheet: </t>
        </is>
      </c>
      <c r="I6" t="n">
        <v>1</v>
      </c>
      <c r="J6" t="inlineStr">
        <is>
          <t xml:space="preserve">of </t>
        </is>
      </c>
    </row>
    <row r="7">
      <c r="H7" s="52" t="inlineStr">
        <is>
          <t>Cert. of Auth. #24GA2872300</t>
        </is>
      </c>
    </row>
    <row r="9">
      <c r="C9" t="inlineStr">
        <is>
          <t>PROJECT:</t>
        </is>
      </c>
      <c r="D9" t="inlineStr">
        <is>
          <t>STAFFORD ROAD SANITARY SEWER PHASE I</t>
        </is>
      </c>
    </row>
    <row r="10">
      <c r="C10" t="inlineStr">
        <is>
          <t>CONTRACTOR:</t>
        </is>
      </c>
      <c r="D10" t="inlineStr">
        <is>
          <t>MONTANA CONSTRUCTION</t>
        </is>
      </c>
      <c r="I10" t="inlineStr">
        <is>
          <t>REV 0</t>
        </is>
      </c>
    </row>
    <row r="11">
      <c r="B11" s="53" t="inlineStr">
        <is>
          <t>Point Name</t>
        </is>
      </c>
      <c r="C11" s="53" t="inlineStr">
        <is>
          <t>Delta Northing (DN)</t>
        </is>
      </c>
      <c r="D11" s="53" t="inlineStr">
        <is>
          <t>Delta Easting (DE)</t>
        </is>
      </c>
      <c r="E11" s="53" t="inlineStr">
        <is>
          <t>Delta Elevation (DELV)</t>
        </is>
      </c>
    </row>
    <row r="12">
      <c r="B12" s="46" t="inlineStr">
        <is>
          <t>RMP-A</t>
        </is>
      </c>
      <c r="C12" s="50" t="n"/>
      <c r="D12" s="50" t="n"/>
      <c r="E12" s="50" t="n"/>
    </row>
    <row r="13">
      <c r="B13" s="46" t="inlineStr">
        <is>
          <t>RMP-B</t>
        </is>
      </c>
      <c r="C13" s="50" t="n"/>
      <c r="D13" s="50" t="n"/>
      <c r="E13" s="50" t="n"/>
    </row>
    <row r="14">
      <c r="B14" s="46" t="inlineStr">
        <is>
          <t>RMP-C</t>
        </is>
      </c>
      <c r="C14" s="50" t="n"/>
      <c r="D14" s="50" t="n"/>
      <c r="E14" s="50" t="n"/>
    </row>
  </sheetData>
  <mergeCells count="6">
    <mergeCell ref="I4:J4"/>
    <mergeCell ref="D9:J9"/>
    <mergeCell ref="D10:H10"/>
    <mergeCell ref="I10:J10"/>
    <mergeCell ref="I5:J5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Volosy</dc:creator>
  <dcterms:created xmlns:dcterms="http://purl.org/dc/terms/" xmlns:xsi="http://www.w3.org/2001/XMLSchema-instance" xsi:type="dcterms:W3CDTF">2026-03-17T13:25:41Z</dcterms:created>
  <dcterms:modified xmlns:dcterms="http://purl.org/dc/terms/" xmlns:xsi="http://www.w3.org/2001/XMLSchema-instance" xsi:type="dcterms:W3CDTF">2026-08-18T18:41:57Z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0x010100E57B42034429A14E8F68AD45B6771B3C</vt:lpwstr>
  </property>
  <property name="MediaServiceImageTags" fmtid="{D5CDD505-2E9C-101B-9397-08002B2CF9AE}" pid="3">
    <vt:lpwstr xmlns:vt="http://schemas.openxmlformats.org/officeDocument/2006/docPropsVTypes"/>
  </property>
</Properties>
</file>